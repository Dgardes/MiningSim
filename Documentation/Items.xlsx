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Raw Items" sheetId="1" state="visible" r:id="rId3"/>
    <sheet name="Ingots and Alloys" sheetId="2" state="visible" r:id="rId4"/>
    <sheet name="Building Materials" sheetId="3" state="visible" r:id="rId5"/>
    <sheet name="Порівняння із заповнювачем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2" authorId="0">
      <text>
        <r>
          <rPr>
            <sz val="10"/>
            <rFont val="Arial"/>
            <family val="2"/>
          </rPr>
          <t xml:space="preserve">К-сть на виході перенесено з Processing.xlsx (аркуш автора). Ціна = ROUND((компонент1 + компонент2) / К-сть на виході * 1.2; 0), округлено до цілих монет.</t>
        </r>
      </text>
    </comment>
    <comment ref="G2" authorId="0">
      <text>
        <r>
          <rPr>
            <sz val="10"/>
            <rFont val="Arial"/>
            <family val="2"/>
          </rPr>
          <t xml:space="preserve">К-сть на виході перенесено з Processing.xlsx (аркуш автора). Ціна = ROUND((компонент1 + компонент2) / К-сть на виході * 1.2; 0), округлено до цілих монет.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2" authorId="0">
      <text>
        <r>
          <rPr>
            <sz val="10"/>
            <rFont val="Arial"/>
            <family val="2"/>
          </rPr>
          <t xml:space="preserve">К-сть на виході перенесено з Processing.xlsx (аркуш автора). Ціна = ROUND((компонент1 + компонент2) / К-сть на виході * 1.2; 0), округлено до цілих монет.</t>
        </r>
      </text>
    </comment>
    <comment ref="G2" authorId="0">
      <text>
        <r>
          <rPr>
            <sz val="10"/>
            <rFont val="Arial"/>
            <family val="2"/>
          </rPr>
          <t xml:space="preserve">К-сть на виході перенесено з Processing.xlsx (аркуш автора). Ціна = ROUND((компонент1 + компонент2) / К-сть на виході * 1.2; 0), округлено до цілих монет.</t>
        </r>
      </text>
    </comment>
  </commentList>
</comments>
</file>

<file path=xl/sharedStrings.xml><?xml version="1.0" encoding="utf-8"?>
<sst xmlns="http://schemas.openxmlformats.org/spreadsheetml/2006/main" count="337" uniqueCount="220">
  <si>
    <t xml:space="preserve">Raw Items / Сирі предмети</t>
  </si>
  <si>
    <t xml:space="preserve">RU</t>
  </si>
  <si>
    <t xml:space="preserve">EN (Code)</t>
  </si>
  <si>
    <t xml:space="preserve">Тип</t>
  </si>
  <si>
    <t xml:space="preserve">Тир обробки</t>
  </si>
  <si>
    <t xml:space="preserve">Ціна</t>
  </si>
  <si>
    <t xml:space="preserve">Шар 1 (0-50)</t>
  </si>
  <si>
    <t xml:space="preserve">Земля</t>
  </si>
  <si>
    <t xml:space="preserve">DirtItem</t>
  </si>
  <si>
    <t xml:space="preserve">Filler</t>
  </si>
  <si>
    <t xml:space="preserve">Корінь</t>
  </si>
  <si>
    <t xml:space="preserve">RootItem</t>
  </si>
  <si>
    <t xml:space="preserve">None</t>
  </si>
  <si>
    <t xml:space="preserve">Паливо</t>
  </si>
  <si>
    <t xml:space="preserve">Глина</t>
  </si>
  <si>
    <t xml:space="preserve">ClayItem</t>
  </si>
  <si>
    <t xml:space="preserve">Пісок</t>
  </si>
  <si>
    <t xml:space="preserve">SandItem</t>
  </si>
  <si>
    <t xml:space="preserve">MassMaterial</t>
  </si>
  <si>
    <t xml:space="preserve">Кремінь</t>
  </si>
  <si>
    <t xml:space="preserve">FlintItem</t>
  </si>
  <si>
    <t xml:space="preserve">Вапно</t>
  </si>
  <si>
    <t xml:space="preserve">LimeItem</t>
  </si>
  <si>
    <t xml:space="preserve">Бурштин</t>
  </si>
  <si>
    <t xml:space="preserve">AmberShardItem</t>
  </si>
  <si>
    <t xml:space="preserve">RareMaterial</t>
  </si>
  <si>
    <t xml:space="preserve">Шар 2 (50-250)</t>
  </si>
  <si>
    <t xml:space="preserve">Бруківка</t>
  </si>
  <si>
    <t xml:space="preserve">CobblestoneItem</t>
  </si>
  <si>
    <t xml:space="preserve">Мідна руда</t>
  </si>
  <si>
    <t xml:space="preserve">RawCopperItem</t>
  </si>
  <si>
    <t xml:space="preserve">Вугілля</t>
  </si>
  <si>
    <t xml:space="preserve">CoalItem</t>
  </si>
  <si>
    <t xml:space="preserve">Граніт</t>
  </si>
  <si>
    <t xml:space="preserve">GraniteItem</t>
  </si>
  <si>
    <t xml:space="preserve">Constructive</t>
  </si>
  <si>
    <t xml:space="preserve">Андезит</t>
  </si>
  <si>
    <t xml:space="preserve">AndesiteItem</t>
  </si>
  <si>
    <t xml:space="preserve">Олов'яна руда</t>
  </si>
  <si>
    <t xml:space="preserve">RawTinItem</t>
  </si>
  <si>
    <t xml:space="preserve">Залізна руда</t>
  </si>
  <si>
    <t xml:space="preserve">RawIronItem</t>
  </si>
  <si>
    <t xml:space="preserve">Шар 3 (250-500)</t>
  </si>
  <si>
    <t xml:space="preserve">Сланець</t>
  </si>
  <si>
    <t xml:space="preserve">SlateItem</t>
  </si>
  <si>
    <t xml:space="preserve">Мармур</t>
  </si>
  <si>
    <t xml:space="preserve">MarbleItem</t>
  </si>
  <si>
    <t xml:space="preserve">Уламок габро</t>
  </si>
  <si>
    <t xml:space="preserve">GabbroShardItem</t>
  </si>
  <si>
    <t xml:space="preserve">Золота руда</t>
  </si>
  <si>
    <t xml:space="preserve">RawGoldItem</t>
  </si>
  <si>
    <t xml:space="preserve">Срібна руда</t>
  </si>
  <si>
    <t xml:space="preserve">RawSilverItem</t>
  </si>
  <si>
    <t xml:space="preserve">Алмаз</t>
  </si>
  <si>
    <t xml:space="preserve">DiamondItem</t>
  </si>
  <si>
    <t xml:space="preserve">Шар 4 (500-800)</t>
  </si>
  <si>
    <t xml:space="preserve">Базальт</t>
  </si>
  <si>
    <t xml:space="preserve">BasaltItem</t>
  </si>
  <si>
    <t xml:space="preserve">Кварцит</t>
  </si>
  <si>
    <t xml:space="preserve">QuartziteItem</t>
  </si>
  <si>
    <t xml:space="preserve">Гнейс</t>
  </si>
  <si>
    <t xml:space="preserve">GneissItem</t>
  </si>
  <si>
    <t xml:space="preserve">Кобальтова руда</t>
  </si>
  <si>
    <t xml:space="preserve">RawCobaltItem</t>
  </si>
  <si>
    <t xml:space="preserve">Міфрилова руда</t>
  </si>
  <si>
    <t xml:space="preserve">RawMithrilItem</t>
  </si>
  <si>
    <t xml:space="preserve">Антрацит</t>
  </si>
  <si>
    <t xml:space="preserve">AnthraciteItem</t>
  </si>
  <si>
    <t xml:space="preserve">Шар 5 (800-1000)</t>
  </si>
  <si>
    <t xml:space="preserve">Перидотит</t>
  </si>
  <si>
    <t xml:space="preserve">PeridotiteItem</t>
  </si>
  <si>
    <t xml:space="preserve">Обсидіановий уламок</t>
  </si>
  <si>
    <t xml:space="preserve">ObsidianShardItem</t>
  </si>
  <si>
    <t xml:space="preserve">Магматит</t>
  </si>
  <si>
    <t xml:space="preserve">MagmatiteItem</t>
  </si>
  <si>
    <t xml:space="preserve">Уранова руда</t>
  </si>
  <si>
    <t xml:space="preserve">RawUraniumItem</t>
  </si>
  <si>
    <t xml:space="preserve">Адамантитова руда</t>
  </si>
  <si>
    <t xml:space="preserve">RawAdamantiteItem</t>
  </si>
  <si>
    <t xml:space="preserve">Титанова руда</t>
  </si>
  <si>
    <t xml:space="preserve">RawTitaniumItem</t>
  </si>
  <si>
    <t xml:space="preserve">Ingots and Alloys / Злитки та сплави</t>
  </si>
  <si>
    <t xml:space="preserve">К-сть на виході</t>
  </si>
  <si>
    <t xml:space="preserve">Тир 2</t>
  </si>
  <si>
    <t xml:space="preserve">Мідний злиток</t>
  </si>
  <si>
    <t xml:space="preserve">CopperIngotItem</t>
  </si>
  <si>
    <t xml:space="preserve">Олов'яний злиток</t>
  </si>
  <si>
    <t xml:space="preserve">TinIngotItem</t>
  </si>
  <si>
    <t xml:space="preserve">Залізний злиток</t>
  </si>
  <si>
    <t xml:space="preserve">IronIngotItem</t>
  </si>
  <si>
    <t xml:space="preserve">Бронзовий злиток</t>
  </si>
  <si>
    <t xml:space="preserve">BronzeIngotItem</t>
  </si>
  <si>
    <t xml:space="preserve">Сталевий злиток</t>
  </si>
  <si>
    <t xml:space="preserve">SteelIngotItem</t>
  </si>
  <si>
    <t xml:space="preserve">Тир 3</t>
  </si>
  <si>
    <t xml:space="preserve">Золотий злиток</t>
  </si>
  <si>
    <t xml:space="preserve">GoldIngotItem</t>
  </si>
  <si>
    <t xml:space="preserve">Срібний злиток</t>
  </si>
  <si>
    <t xml:space="preserve">SilverIngotItem</t>
  </si>
  <si>
    <t xml:space="preserve">Електрумовий злиток</t>
  </si>
  <si>
    <t xml:space="preserve">ElectrumIngotItem</t>
  </si>
  <si>
    <t xml:space="preserve">Тир 4</t>
  </si>
  <si>
    <t xml:space="preserve">Кобальтовий злиток</t>
  </si>
  <si>
    <t xml:space="preserve">CobaltIngotItem</t>
  </si>
  <si>
    <t xml:space="preserve">Міфриловий злиток</t>
  </si>
  <si>
    <t xml:space="preserve">MithrilIngotItem</t>
  </si>
  <si>
    <t xml:space="preserve">Лазуровий метал</t>
  </si>
  <si>
    <t xml:space="preserve">AzureMetalItem</t>
  </si>
  <si>
    <t xml:space="preserve">Темна сталь</t>
  </si>
  <si>
    <t xml:space="preserve">DarkSteelItem</t>
  </si>
  <si>
    <t xml:space="preserve">Тир 5</t>
  </si>
  <si>
    <t xml:space="preserve">Вогняна сталь</t>
  </si>
  <si>
    <t xml:space="preserve">FireSteelItem</t>
  </si>
  <si>
    <t xml:space="preserve">Обсидіанова сталь</t>
  </si>
  <si>
    <t xml:space="preserve">ObsidianSteelItem</t>
  </si>
  <si>
    <t xml:space="preserve">Урановий злиток</t>
  </si>
  <si>
    <t xml:space="preserve">UraniumIngotItem</t>
  </si>
  <si>
    <t xml:space="preserve">Тир 6</t>
  </si>
  <si>
    <t xml:space="preserve">Адамантитовий злиток</t>
  </si>
  <si>
    <t xml:space="preserve">AdamantiteIngotItem</t>
  </si>
  <si>
    <t xml:space="preserve">Титановий злиток</t>
  </si>
  <si>
    <t xml:space="preserve">TitaniumIngotItem</t>
  </si>
  <si>
    <t xml:space="preserve">Міфічний сплав</t>
  </si>
  <si>
    <t xml:space="preserve">MythicAlloyItem</t>
  </si>
  <si>
    <t xml:space="preserve">Чорний титан</t>
  </si>
  <si>
    <t xml:space="preserve">BlackTitaniumItem</t>
  </si>
  <si>
    <t xml:space="preserve">Зоряний метал</t>
  </si>
  <si>
    <t xml:space="preserve">StarMetalItem</t>
  </si>
  <si>
    <t xml:space="preserve">Building Materials / Будматеріали</t>
  </si>
  <si>
    <t xml:space="preserve">Тир 1</t>
  </si>
  <si>
    <t xml:space="preserve">Будівельний розчин</t>
  </si>
  <si>
    <t xml:space="preserve">MortarItem</t>
  </si>
  <si>
    <t xml:space="preserve">Глиняна цегла</t>
  </si>
  <si>
    <t xml:space="preserve">ClayBrickItem</t>
  </si>
  <si>
    <t xml:space="preserve">Проста опора</t>
  </si>
  <si>
    <t xml:space="preserve">SimpleSupportItem</t>
  </si>
  <si>
    <t xml:space="preserve">Саманна цегла</t>
  </si>
  <si>
    <t xml:space="preserve">AdobeBrickItem</t>
  </si>
  <si>
    <t xml:space="preserve">Просте скло</t>
  </si>
  <si>
    <t xml:space="preserve">SimpleGlassItem</t>
  </si>
  <si>
    <t xml:space="preserve">Глиняна черепиця</t>
  </si>
  <si>
    <t xml:space="preserve">ClayTileItem</t>
  </si>
  <si>
    <t xml:space="preserve">Цементний розчин</t>
  </si>
  <si>
    <t xml:space="preserve">CementMortarItem</t>
  </si>
  <si>
    <t xml:space="preserve">Гранітна кладка</t>
  </si>
  <si>
    <t xml:space="preserve">GraniteMasonryItem</t>
  </si>
  <si>
    <t xml:space="preserve">Бронзова балка</t>
  </si>
  <si>
    <t xml:space="preserve">BronzeBeamItem</t>
  </si>
  <si>
    <t xml:space="preserve">Андезитова плита</t>
  </si>
  <si>
    <t xml:space="preserve">AndesiteSlabItem</t>
  </si>
  <si>
    <t xml:space="preserve">Мідне вікно</t>
  </si>
  <si>
    <t xml:space="preserve">CopperWindowItem</t>
  </si>
  <si>
    <t xml:space="preserve">Кам'яна черепиця</t>
  </si>
  <si>
    <t xml:space="preserve">StoneTileItem</t>
  </si>
  <si>
    <t xml:space="preserve">Смоляна в'язка</t>
  </si>
  <si>
    <t xml:space="preserve">TarBinderItem</t>
  </si>
  <si>
    <t xml:space="preserve">Габрова цегла</t>
  </si>
  <si>
    <t xml:space="preserve">GabbroBrickItem</t>
  </si>
  <si>
    <t xml:space="preserve">Сталева балка</t>
  </si>
  <si>
    <t xml:space="preserve">SteelBeamItem</t>
  </si>
  <si>
    <t xml:space="preserve">Мармурова плита</t>
  </si>
  <si>
    <t xml:space="preserve">MarbleSlabItem</t>
  </si>
  <si>
    <t xml:space="preserve">Вітражне скло</t>
  </si>
  <si>
    <t xml:space="preserve">StainedGlassItem</t>
  </si>
  <si>
    <t xml:space="preserve">Сланцева черепиця</t>
  </si>
  <si>
    <t xml:space="preserve">SlateTileItem</t>
  </si>
  <si>
    <t xml:space="preserve">Кварцовий клей</t>
  </si>
  <si>
    <t xml:space="preserve">QuartzGlueItem</t>
  </si>
  <si>
    <t xml:space="preserve">Базальтова цегла</t>
  </si>
  <si>
    <t xml:space="preserve">BasaltBrickItem</t>
  </si>
  <si>
    <t xml:space="preserve">Паля з темної сталі</t>
  </si>
  <si>
    <t xml:space="preserve">DarkSteelPileItem</t>
  </si>
  <si>
    <t xml:space="preserve">Гнейсова плита</t>
  </si>
  <si>
    <t xml:space="preserve">GneissSlabItem</t>
  </si>
  <si>
    <t xml:space="preserve">Кварцове скло</t>
  </si>
  <si>
    <t xml:space="preserve">QuartzGlassItem</t>
  </si>
  <si>
    <t xml:space="preserve">Кобальтова черепиця</t>
  </si>
  <si>
    <t xml:space="preserve">CobaltTileItem</t>
  </si>
  <si>
    <t xml:space="preserve">Магматична паста</t>
  </si>
  <si>
    <t xml:space="preserve">MagmaPasteItem</t>
  </si>
  <si>
    <t xml:space="preserve">Вогнетривка цегла</t>
  </si>
  <si>
    <t xml:space="preserve">FireproofBrickItem</t>
  </si>
  <si>
    <t xml:space="preserve">Паля з обсидіанової сталі</t>
  </si>
  <si>
    <t xml:space="preserve">ObsidianSteelPileItem</t>
  </si>
  <si>
    <t xml:space="preserve">Перидотитова плита</t>
  </si>
  <si>
    <t xml:space="preserve">PeridotiteSlabItem</t>
  </si>
  <si>
    <t xml:space="preserve">Уранове скло</t>
  </si>
  <si>
    <t xml:space="preserve">UraniumGlassItem</t>
  </si>
  <si>
    <t xml:space="preserve">Вогнетривка черепиця</t>
  </si>
  <si>
    <t xml:space="preserve">FireproofTileItem</t>
  </si>
  <si>
    <t xml:space="preserve">Порівняння ресурсів із заповнювачем шару</t>
  </si>
  <si>
    <t xml:space="preserve">Ресурс</t>
  </si>
  <si>
    <t xml:space="preserve">Блок</t>
  </si>
  <si>
    <t xml:space="preserve">Міцність блоку</t>
  </si>
  <si>
    <t xml:space="preserve">Середній дроп</t>
  </si>
  <si>
    <t xml:space="preserve">Дохід за 1 міцності</t>
  </si>
  <si>
    <t xml:space="preserve">Ціна до заповнювача</t>
  </si>
  <si>
    <t xml:space="preserve">Дохід до заповнювача</t>
  </si>
  <si>
    <t xml:space="preserve">Коріння</t>
  </si>
  <si>
    <t xml:space="preserve">Гравій</t>
  </si>
  <si>
    <t xml:space="preserve">Вапняк</t>
  </si>
  <si>
    <t xml:space="preserve">Камінь</t>
  </si>
  <si>
    <t xml:space="preserve">Мідь</t>
  </si>
  <si>
    <t xml:space="preserve">Олово</t>
  </si>
  <si>
    <t xml:space="preserve">Залізо</t>
  </si>
  <si>
    <t xml:space="preserve">Габро</t>
  </si>
  <si>
    <t xml:space="preserve">Золото</t>
  </si>
  <si>
    <t xml:space="preserve">Срібло</t>
  </si>
  <si>
    <t xml:space="preserve">Кобальт</t>
  </si>
  <si>
    <t xml:space="preserve">Міфрил</t>
  </si>
  <si>
    <t xml:space="preserve">Обсидіан</t>
  </si>
  <si>
    <t xml:space="preserve">Уран</t>
  </si>
  <si>
    <t xml:space="preserve">Адамантит</t>
  </si>
  <si>
    <t xml:space="preserve">Титан</t>
  </si>
  <si>
    <t xml:space="preserve">Як читати</t>
  </si>
  <si>
    <t xml:space="preserve">Перший рядок кожного шару — заповнювач (жирним). Решта ресурсів порівнюється з ним.</t>
  </si>
  <si>
    <t xml:space="preserve">Дохід за 1 міцності = ціна × середній дроп ÷ міцність блоку. Це приблизно те, скільки гравець заробляє за час копання, тому порівнювати краще за останньою колонкою.</t>
  </si>
  <si>
    <t xml:space="preserve">Ціна й тип беруться з аркуша Raw Items: зміниш ціну там — таблиця перерахується сама.</t>
  </si>
  <si>
    <t xml:space="preserve">Синім — дані з Blocks.xlsx (аркуш «Блоки + лут», 20.10.2026): міцність основного блоку ресурсу та середній основний дроп (без бонусу від удачі).</t>
  </si>
  <si>
    <t xml:space="preserve">Колір «Дохід до заповнювача»: червоний — менше 3×, жовтий — 3–6×, зелений — 6× і більше. Для порід (Constructive) низьке співвідношення нормальне, вони не «знахідка».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</si>
</sst>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"/>
    <numFmt numFmtId="167" formatCode="0.00"/>
    <numFmt numFmtId="168" formatCode="0.0\×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sz val="11"/>
      <color rgb="FF008000"/>
      <name val="Calibri"/>
      <family val="2"/>
      <charset val="204"/>
    </font>
    <font>
      <sz val="11"/>
      <color rgb="FF0000FF"/>
      <name val="Calibri"/>
      <family val="2"/>
      <charset val="204"/>
    </font>
    <font>
      <sz val="10"/>
      <name val="Arial"/>
      <family val="2"/>
    </font>
    <font>
      <b val="true"/>
      <sz val="11"/>
      <color rgb="FF0000FF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B52" activeCellId="0" sqref="B52"/>
    </sheetView>
  </sheetViews>
  <sheetFormatPr defaultColWidth="8.71484375" defaultRowHeight="15" zeroHeight="false" outlineLevelRow="0" outlineLevelCol="0"/>
  <cols>
    <col collapsed="false" customWidth="true" hidden="false" outlineLevel="0" max="2" min="2" style="1" width="20"/>
    <col collapsed="false" customWidth="true" hidden="false" outlineLevel="0" max="3" min="3" style="1" width="22"/>
    <col collapsed="false" customWidth="true" hidden="false" outlineLevel="0" max="5" min="4" style="1" width="15"/>
    <col collapsed="false" customWidth="true" hidden="false" outlineLevel="0" max="6" min="6" style="1" width="10"/>
  </cols>
  <sheetData>
    <row r="1" customFormat="false" ht="15" hidden="false" customHeight="true" outlineLevel="0" collapsed="false">
      <c r="B1" s="2" t="s">
        <v>0</v>
      </c>
      <c r="C1" s="2"/>
      <c r="D1" s="2"/>
      <c r="E1" s="2"/>
      <c r="F1" s="2"/>
    </row>
    <row r="2" customFormat="false" ht="15" hidden="false" customHeight="true" outlineLevel="0" collapsed="false"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customFormat="false" ht="15" hidden="false" customHeight="true" outlineLevel="0" collapsed="false">
      <c r="B3" s="4" t="s">
        <v>6</v>
      </c>
      <c r="C3" s="4"/>
      <c r="D3" s="4"/>
      <c r="E3" s="4"/>
      <c r="F3" s="4"/>
    </row>
    <row r="4" customFormat="false" ht="15" hidden="false" customHeight="true" outlineLevel="0" collapsed="false">
      <c r="B4" s="5" t="s">
        <v>7</v>
      </c>
      <c r="C4" s="5" t="s">
        <v>8</v>
      </c>
      <c r="D4" s="5" t="s">
        <v>9</v>
      </c>
      <c r="E4" s="5" t="n">
        <v>0</v>
      </c>
      <c r="F4" s="5" t="n">
        <v>1</v>
      </c>
    </row>
    <row r="5" customFormat="false" ht="15" hidden="false" customHeight="true" outlineLevel="0" collapsed="false">
      <c r="B5" s="5" t="s">
        <v>10</v>
      </c>
      <c r="C5" s="5" t="s">
        <v>11</v>
      </c>
      <c r="D5" s="5" t="s">
        <v>12</v>
      </c>
      <c r="E5" s="5" t="s">
        <v>13</v>
      </c>
      <c r="F5" s="5" t="n">
        <v>2</v>
      </c>
    </row>
    <row r="6" customFormat="false" ht="15" hidden="false" customHeight="true" outlineLevel="0" collapsed="false">
      <c r="B6" s="5" t="s">
        <v>14</v>
      </c>
      <c r="C6" s="5" t="s">
        <v>15</v>
      </c>
      <c r="D6" s="5" t="s">
        <v>9</v>
      </c>
      <c r="E6" s="5" t="n">
        <v>1</v>
      </c>
      <c r="F6" s="5" t="n">
        <v>3</v>
      </c>
    </row>
    <row r="7" customFormat="false" ht="15" hidden="false" customHeight="true" outlineLevel="0" collapsed="false">
      <c r="B7" s="5" t="s">
        <v>16</v>
      </c>
      <c r="C7" s="5" t="s">
        <v>17</v>
      </c>
      <c r="D7" s="5" t="s">
        <v>18</v>
      </c>
      <c r="E7" s="5" t="n">
        <v>1</v>
      </c>
      <c r="F7" s="5" t="n">
        <v>5</v>
      </c>
    </row>
    <row r="8" customFormat="false" ht="15" hidden="false" customHeight="true" outlineLevel="0" collapsed="false">
      <c r="B8" s="5" t="s">
        <v>19</v>
      </c>
      <c r="C8" s="5" t="s">
        <v>20</v>
      </c>
      <c r="D8" s="5" t="s">
        <v>18</v>
      </c>
      <c r="E8" s="5" t="n">
        <v>0</v>
      </c>
      <c r="F8" s="5" t="n">
        <v>5</v>
      </c>
    </row>
    <row r="9" customFormat="false" ht="15" hidden="false" customHeight="true" outlineLevel="0" collapsed="false">
      <c r="B9" s="5" t="s">
        <v>21</v>
      </c>
      <c r="C9" s="5" t="s">
        <v>22</v>
      </c>
      <c r="D9" s="5" t="s">
        <v>18</v>
      </c>
      <c r="E9" s="5" t="n">
        <v>1</v>
      </c>
      <c r="F9" s="5" t="n">
        <v>8</v>
      </c>
    </row>
    <row r="10" customFormat="false" ht="15" hidden="false" customHeight="true" outlineLevel="0" collapsed="false">
      <c r="B10" s="5" t="s">
        <v>23</v>
      </c>
      <c r="C10" s="5" t="s">
        <v>24</v>
      </c>
      <c r="D10" s="5" t="s">
        <v>25</v>
      </c>
      <c r="E10" s="5" t="n">
        <v>0</v>
      </c>
      <c r="F10" s="5" t="n">
        <v>30</v>
      </c>
    </row>
    <row r="11" customFormat="false" ht="15" hidden="false" customHeight="true" outlineLevel="0" collapsed="false">
      <c r="B11" s="4" t="s">
        <v>26</v>
      </c>
      <c r="C11" s="4"/>
      <c r="D11" s="4"/>
      <c r="E11" s="4"/>
      <c r="F11" s="4"/>
    </row>
    <row r="12" customFormat="false" ht="15" hidden="false" customHeight="true" outlineLevel="0" collapsed="false">
      <c r="B12" s="5" t="s">
        <v>27</v>
      </c>
      <c r="C12" s="5" t="s">
        <v>28</v>
      </c>
      <c r="D12" s="5" t="s">
        <v>9</v>
      </c>
      <c r="E12" s="5" t="n">
        <v>1</v>
      </c>
      <c r="F12" s="5" t="n">
        <v>5</v>
      </c>
    </row>
    <row r="13" customFormat="false" ht="15" hidden="false" customHeight="true" outlineLevel="0" collapsed="false">
      <c r="B13" s="5" t="s">
        <v>29</v>
      </c>
      <c r="C13" s="5" t="s">
        <v>30</v>
      </c>
      <c r="D13" s="5" t="s">
        <v>18</v>
      </c>
      <c r="E13" s="5" t="n">
        <v>1</v>
      </c>
      <c r="F13" s="5" t="n">
        <v>20</v>
      </c>
    </row>
    <row r="14" customFormat="false" ht="15" hidden="false" customHeight="true" outlineLevel="0" collapsed="false">
      <c r="B14" s="5" t="s">
        <v>31</v>
      </c>
      <c r="C14" s="5" t="s">
        <v>32</v>
      </c>
      <c r="D14" s="5" t="s">
        <v>12</v>
      </c>
      <c r="E14" s="5" t="s">
        <v>13</v>
      </c>
      <c r="F14" s="5" t="n">
        <v>12</v>
      </c>
    </row>
    <row r="15" customFormat="false" ht="15" hidden="false" customHeight="true" outlineLevel="0" collapsed="false">
      <c r="B15" s="5" t="s">
        <v>33</v>
      </c>
      <c r="C15" s="5" t="s">
        <v>34</v>
      </c>
      <c r="D15" s="5" t="s">
        <v>35</v>
      </c>
      <c r="E15" s="5" t="n">
        <v>1</v>
      </c>
      <c r="F15" s="5" t="n">
        <v>10</v>
      </c>
    </row>
    <row r="16" customFormat="false" ht="15" hidden="false" customHeight="true" outlineLevel="0" collapsed="false">
      <c r="B16" s="5" t="s">
        <v>36</v>
      </c>
      <c r="C16" s="5" t="s">
        <v>37</v>
      </c>
      <c r="D16" s="5" t="s">
        <v>35</v>
      </c>
      <c r="E16" s="5" t="n">
        <v>1</v>
      </c>
      <c r="F16" s="5" t="n">
        <v>10</v>
      </c>
    </row>
    <row r="17" customFormat="false" ht="15" hidden="false" customHeight="true" outlineLevel="0" collapsed="false">
      <c r="B17" s="5" t="s">
        <v>38</v>
      </c>
      <c r="C17" s="5" t="s">
        <v>39</v>
      </c>
      <c r="D17" s="5" t="s">
        <v>18</v>
      </c>
      <c r="E17" s="5" t="n">
        <v>2</v>
      </c>
      <c r="F17" s="5" t="n">
        <v>20</v>
      </c>
    </row>
    <row r="18" customFormat="false" ht="15" hidden="false" customHeight="true" outlineLevel="0" collapsed="false">
      <c r="B18" s="5" t="s">
        <v>40</v>
      </c>
      <c r="C18" s="5" t="s">
        <v>41</v>
      </c>
      <c r="D18" s="5" t="s">
        <v>18</v>
      </c>
      <c r="E18" s="5" t="n">
        <v>2</v>
      </c>
      <c r="F18" s="5" t="n">
        <v>35</v>
      </c>
    </row>
    <row r="19" customFormat="false" ht="15" hidden="false" customHeight="true" outlineLevel="0" collapsed="false">
      <c r="B19" s="4" t="s">
        <v>42</v>
      </c>
      <c r="C19" s="4"/>
      <c r="D19" s="4"/>
      <c r="E19" s="4"/>
      <c r="F19" s="4"/>
    </row>
    <row r="20" customFormat="false" ht="15" hidden="false" customHeight="true" outlineLevel="0" collapsed="false">
      <c r="B20" s="5" t="s">
        <v>43</v>
      </c>
      <c r="C20" s="5" t="s">
        <v>44</v>
      </c>
      <c r="D20" s="5" t="s">
        <v>9</v>
      </c>
      <c r="E20" s="5" t="n">
        <v>2</v>
      </c>
      <c r="F20" s="5" t="n">
        <v>15</v>
      </c>
    </row>
    <row r="21" customFormat="false" ht="15" hidden="false" customHeight="true" outlineLevel="0" collapsed="false">
      <c r="B21" s="5" t="s">
        <v>45</v>
      </c>
      <c r="C21" s="5" t="s">
        <v>46</v>
      </c>
      <c r="D21" s="5" t="s">
        <v>35</v>
      </c>
      <c r="E21" s="5" t="n">
        <v>2</v>
      </c>
      <c r="F21" s="5" t="n">
        <v>40</v>
      </c>
    </row>
    <row r="22" customFormat="false" ht="15" hidden="false" customHeight="true" outlineLevel="0" collapsed="false">
      <c r="B22" s="5" t="s">
        <v>47</v>
      </c>
      <c r="C22" s="5" t="s">
        <v>48</v>
      </c>
      <c r="D22" s="5" t="s">
        <v>35</v>
      </c>
      <c r="E22" s="5" t="n">
        <v>2</v>
      </c>
      <c r="F22" s="5" t="n">
        <v>30</v>
      </c>
    </row>
    <row r="23" customFormat="false" ht="15" hidden="false" customHeight="true" outlineLevel="0" collapsed="false">
      <c r="B23" s="5" t="s">
        <v>49</v>
      </c>
      <c r="C23" s="5" t="s">
        <v>50</v>
      </c>
      <c r="D23" s="5" t="s">
        <v>25</v>
      </c>
      <c r="E23" s="5" t="n">
        <v>3</v>
      </c>
      <c r="F23" s="5" t="n">
        <v>100</v>
      </c>
    </row>
    <row r="24" customFormat="false" ht="15" hidden="false" customHeight="true" outlineLevel="0" collapsed="false">
      <c r="B24" s="5" t="s">
        <v>51</v>
      </c>
      <c r="C24" s="5" t="s">
        <v>52</v>
      </c>
      <c r="D24" s="5" t="s">
        <v>25</v>
      </c>
      <c r="E24" s="5" t="n">
        <v>3</v>
      </c>
      <c r="F24" s="5" t="n">
        <v>70</v>
      </c>
    </row>
    <row r="25" customFormat="false" ht="15" hidden="false" customHeight="true" outlineLevel="0" collapsed="false">
      <c r="B25" s="5" t="s">
        <v>53</v>
      </c>
      <c r="C25" s="5" t="s">
        <v>54</v>
      </c>
      <c r="D25" s="5" t="s">
        <v>25</v>
      </c>
      <c r="E25" s="5" t="n">
        <v>3</v>
      </c>
      <c r="F25" s="5" t="n">
        <v>500</v>
      </c>
    </row>
    <row r="26" customFormat="false" ht="15" hidden="false" customHeight="true" outlineLevel="0" collapsed="false">
      <c r="B26" s="4" t="s">
        <v>55</v>
      </c>
      <c r="C26" s="4"/>
      <c r="D26" s="4"/>
      <c r="E26" s="4"/>
      <c r="F26" s="4"/>
    </row>
    <row r="27" customFormat="false" ht="15" hidden="false" customHeight="true" outlineLevel="0" collapsed="false">
      <c r="B27" s="5" t="s">
        <v>56</v>
      </c>
      <c r="C27" s="5" t="s">
        <v>57</v>
      </c>
      <c r="D27" s="5" t="s">
        <v>9</v>
      </c>
      <c r="E27" s="5" t="n">
        <v>4</v>
      </c>
      <c r="F27" s="5" t="n">
        <v>30</v>
      </c>
    </row>
    <row r="28" customFormat="false" ht="15" hidden="false" customHeight="true" outlineLevel="0" collapsed="false">
      <c r="B28" s="5" t="s">
        <v>58</v>
      </c>
      <c r="C28" s="5" t="s">
        <v>59</v>
      </c>
      <c r="D28" s="5" t="s">
        <v>35</v>
      </c>
      <c r="E28" s="5" t="n">
        <v>4</v>
      </c>
      <c r="F28" s="5" t="n">
        <v>50</v>
      </c>
    </row>
    <row r="29" customFormat="false" ht="15" hidden="false" customHeight="true" outlineLevel="0" collapsed="false">
      <c r="B29" s="5" t="s">
        <v>60</v>
      </c>
      <c r="C29" s="5" t="s">
        <v>61</v>
      </c>
      <c r="D29" s="5" t="s">
        <v>35</v>
      </c>
      <c r="E29" s="5" t="n">
        <v>4</v>
      </c>
      <c r="F29" s="5" t="n">
        <v>60</v>
      </c>
    </row>
    <row r="30" customFormat="false" ht="15" hidden="false" customHeight="true" outlineLevel="0" collapsed="false">
      <c r="B30" s="5" t="s">
        <v>62</v>
      </c>
      <c r="C30" s="5" t="s">
        <v>63</v>
      </c>
      <c r="D30" s="5" t="s">
        <v>25</v>
      </c>
      <c r="E30" s="5" t="n">
        <v>4</v>
      </c>
      <c r="F30" s="5" t="n">
        <v>125</v>
      </c>
    </row>
    <row r="31" customFormat="false" ht="15" hidden="false" customHeight="true" outlineLevel="0" collapsed="false">
      <c r="B31" s="5" t="s">
        <v>64</v>
      </c>
      <c r="C31" s="5" t="s">
        <v>65</v>
      </c>
      <c r="D31" s="5" t="s">
        <v>25</v>
      </c>
      <c r="E31" s="5" t="n">
        <v>4</v>
      </c>
      <c r="F31" s="5" t="n">
        <v>500</v>
      </c>
    </row>
    <row r="32" customFormat="false" ht="15" hidden="false" customHeight="true" outlineLevel="0" collapsed="false">
      <c r="B32" s="5" t="s">
        <v>66</v>
      </c>
      <c r="C32" s="5" t="s">
        <v>67</v>
      </c>
      <c r="D32" s="5" t="s">
        <v>12</v>
      </c>
      <c r="E32" s="5" t="s">
        <v>13</v>
      </c>
      <c r="F32" s="5" t="n">
        <v>200</v>
      </c>
    </row>
    <row r="33" customFormat="false" ht="15" hidden="false" customHeight="true" outlineLevel="0" collapsed="false">
      <c r="B33" s="4" t="s">
        <v>68</v>
      </c>
      <c r="C33" s="4"/>
      <c r="D33" s="4"/>
      <c r="E33" s="4"/>
      <c r="F33" s="4"/>
    </row>
    <row r="34" customFormat="false" ht="15" hidden="false" customHeight="true" outlineLevel="0" collapsed="false">
      <c r="B34" s="5" t="s">
        <v>69</v>
      </c>
      <c r="C34" s="5" t="s">
        <v>70</v>
      </c>
      <c r="D34" s="5" t="s">
        <v>9</v>
      </c>
      <c r="E34" s="5" t="n">
        <v>5</v>
      </c>
      <c r="F34" s="5" t="n">
        <v>65</v>
      </c>
    </row>
    <row r="35" customFormat="false" ht="27.75" hidden="false" customHeight="true" outlineLevel="0" collapsed="false">
      <c r="B35" s="5" t="s">
        <v>71</v>
      </c>
      <c r="C35" s="5" t="s">
        <v>72</v>
      </c>
      <c r="D35" s="5" t="s">
        <v>25</v>
      </c>
      <c r="E35" s="5" t="n">
        <v>5</v>
      </c>
      <c r="F35" s="5" t="n">
        <v>210</v>
      </c>
    </row>
    <row r="36" customFormat="false" ht="15" hidden="false" customHeight="true" outlineLevel="0" collapsed="false">
      <c r="B36" s="5" t="s">
        <v>73</v>
      </c>
      <c r="C36" s="5" t="s">
        <v>74</v>
      </c>
      <c r="D36" s="5" t="s">
        <v>35</v>
      </c>
      <c r="E36" s="5" t="n">
        <v>5</v>
      </c>
      <c r="F36" s="5" t="n">
        <v>160</v>
      </c>
    </row>
    <row r="37" customFormat="false" ht="15" hidden="false" customHeight="true" outlineLevel="0" collapsed="false">
      <c r="B37" s="5" t="s">
        <v>75</v>
      </c>
      <c r="C37" s="5" t="s">
        <v>76</v>
      </c>
      <c r="D37" s="5" t="s">
        <v>25</v>
      </c>
      <c r="E37" s="5" t="n">
        <v>5</v>
      </c>
      <c r="F37" s="5" t="n">
        <v>290</v>
      </c>
    </row>
    <row r="38" customFormat="false" ht="15" hidden="false" customHeight="true" outlineLevel="0" collapsed="false">
      <c r="B38" s="5" t="s">
        <v>77</v>
      </c>
      <c r="C38" s="5" t="s">
        <v>78</v>
      </c>
      <c r="D38" s="5" t="s">
        <v>25</v>
      </c>
      <c r="E38" s="5" t="n">
        <v>6</v>
      </c>
      <c r="F38" s="5" t="n">
        <v>650</v>
      </c>
    </row>
    <row r="39" customFormat="false" ht="15" hidden="false" customHeight="true" outlineLevel="0" collapsed="false">
      <c r="B39" s="5" t="s">
        <v>79</v>
      </c>
      <c r="C39" s="5" t="s">
        <v>80</v>
      </c>
      <c r="D39" s="5" t="s">
        <v>25</v>
      </c>
      <c r="E39" s="5" t="n">
        <v>6</v>
      </c>
      <c r="F39" s="5" t="n">
        <v>2000</v>
      </c>
    </row>
  </sheetData>
  <mergeCells count="6">
    <mergeCell ref="B1:F1"/>
    <mergeCell ref="B3:F3"/>
    <mergeCell ref="B11:F11"/>
    <mergeCell ref="B19:F19"/>
    <mergeCell ref="B26:F26"/>
    <mergeCell ref="B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C33" activeCellId="0" sqref="C33"/>
    </sheetView>
  </sheetViews>
  <sheetFormatPr defaultColWidth="8.71484375" defaultRowHeight="15" zeroHeight="false" outlineLevelRow="0" outlineLevelCol="0"/>
  <cols>
    <col collapsed="false" customWidth="true" hidden="false" outlineLevel="0" max="3" min="2" style="1" width="22"/>
    <col collapsed="false" customWidth="true" hidden="false" outlineLevel="0" max="5" min="4" style="1" width="15"/>
    <col collapsed="false" customWidth="true" hidden="false" outlineLevel="0" max="6" min="6" style="1" width="10"/>
    <col collapsed="false" customWidth="true" hidden="false" outlineLevel="0" max="7" min="7" style="1" width="16"/>
  </cols>
  <sheetData>
    <row r="1" customFormat="false" ht="15" hidden="false" customHeight="true" outlineLevel="0" collapsed="false">
      <c r="B1" s="2" t="s">
        <v>81</v>
      </c>
      <c r="C1" s="2"/>
      <c r="D1" s="2"/>
      <c r="E1" s="2"/>
      <c r="F1" s="2"/>
      <c r="G1" s="2"/>
    </row>
    <row r="2" customFormat="false" ht="15" hidden="false" customHeight="true" outlineLevel="0" collapsed="false"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82</v>
      </c>
    </row>
    <row r="3" customFormat="false" ht="15" hidden="false" customHeight="true" outlineLevel="0" collapsed="false">
      <c r="B3" s="4" t="s">
        <v>83</v>
      </c>
      <c r="C3" s="4"/>
      <c r="D3" s="4"/>
      <c r="E3" s="4"/>
      <c r="F3" s="4"/>
      <c r="G3" s="4"/>
    </row>
    <row r="4" customFormat="false" ht="15" hidden="false" customHeight="true" outlineLevel="0" collapsed="false">
      <c r="B4" s="5" t="s">
        <v>84</v>
      </c>
      <c r="C4" s="5" t="s">
        <v>85</v>
      </c>
      <c r="D4" s="5" t="s">
        <v>18</v>
      </c>
      <c r="E4" s="5" t="n">
        <v>2</v>
      </c>
      <c r="F4" s="6" t="n">
        <f aca="false">ROUND(('Raw Items'!F13+0)/G4*1.2,0)</f>
        <v>24</v>
      </c>
      <c r="G4" s="7" t="n">
        <v>1</v>
      </c>
    </row>
    <row r="5" customFormat="false" ht="15" hidden="false" customHeight="true" outlineLevel="0" collapsed="false">
      <c r="B5" s="5" t="s">
        <v>86</v>
      </c>
      <c r="C5" s="5" t="s">
        <v>87</v>
      </c>
      <c r="D5" s="5" t="s">
        <v>18</v>
      </c>
      <c r="E5" s="5" t="n">
        <v>2</v>
      </c>
      <c r="F5" s="6" t="n">
        <f aca="false">ROUND(('Raw Items'!F17+0)/G5*1.2,0)</f>
        <v>24</v>
      </c>
      <c r="G5" s="7" t="n">
        <v>1</v>
      </c>
    </row>
    <row r="6" customFormat="false" ht="15" hidden="false" customHeight="true" outlineLevel="0" collapsed="false">
      <c r="B6" s="5" t="s">
        <v>88</v>
      </c>
      <c r="C6" s="5" t="s">
        <v>89</v>
      </c>
      <c r="D6" s="5" t="s">
        <v>18</v>
      </c>
      <c r="E6" s="5" t="n">
        <v>2</v>
      </c>
      <c r="F6" s="6" t="n">
        <f aca="false">ROUND(('Raw Items'!F18+0)/G6*1.2,0)</f>
        <v>42</v>
      </c>
      <c r="G6" s="7" t="n">
        <v>1</v>
      </c>
    </row>
    <row r="7" customFormat="false" ht="15" hidden="false" customHeight="true" outlineLevel="0" collapsed="false">
      <c r="B7" s="5" t="s">
        <v>90</v>
      </c>
      <c r="C7" s="5" t="s">
        <v>91</v>
      </c>
      <c r="D7" s="5" t="s">
        <v>35</v>
      </c>
      <c r="E7" s="5" t="n">
        <v>2</v>
      </c>
      <c r="F7" s="6" t="n">
        <f aca="false">ROUND((F4+F5)/G7*1.2,0)</f>
        <v>29</v>
      </c>
      <c r="G7" s="7" t="n">
        <v>2</v>
      </c>
    </row>
    <row r="8" customFormat="false" ht="15" hidden="false" customHeight="true" outlineLevel="0" collapsed="false">
      <c r="B8" s="5" t="s">
        <v>92</v>
      </c>
      <c r="C8" s="5" t="s">
        <v>93</v>
      </c>
      <c r="D8" s="5" t="s">
        <v>35</v>
      </c>
      <c r="E8" s="5" t="n">
        <v>2</v>
      </c>
      <c r="F8" s="6" t="n">
        <f aca="false">ROUND((F6+'Raw Items'!F14)/G8*1.2,0)</f>
        <v>65</v>
      </c>
      <c r="G8" s="7" t="n">
        <v>1</v>
      </c>
    </row>
    <row r="9" customFormat="false" ht="15" hidden="false" customHeight="true" outlineLevel="0" collapsed="false">
      <c r="B9" s="4" t="s">
        <v>94</v>
      </c>
      <c r="C9" s="4"/>
      <c r="D9" s="4"/>
      <c r="E9" s="4"/>
      <c r="F9" s="4"/>
      <c r="G9" s="4"/>
    </row>
    <row r="10" customFormat="false" ht="15" hidden="false" customHeight="true" outlineLevel="0" collapsed="false">
      <c r="B10" s="5" t="s">
        <v>95</v>
      </c>
      <c r="C10" s="5" t="s">
        <v>96</v>
      </c>
      <c r="D10" s="5" t="s">
        <v>25</v>
      </c>
      <c r="E10" s="5" t="n">
        <v>3</v>
      </c>
      <c r="F10" s="6" t="n">
        <f aca="false">ROUND(('Raw Items'!F23+0)/G10*1.2,0)</f>
        <v>120</v>
      </c>
      <c r="G10" s="7" t="n">
        <v>1</v>
      </c>
    </row>
    <row r="11" customFormat="false" ht="15" hidden="false" customHeight="true" outlineLevel="0" collapsed="false">
      <c r="B11" s="5" t="s">
        <v>97</v>
      </c>
      <c r="C11" s="5" t="s">
        <v>98</v>
      </c>
      <c r="D11" s="5" t="s">
        <v>25</v>
      </c>
      <c r="E11" s="5" t="n">
        <v>3</v>
      </c>
      <c r="F11" s="6" t="n">
        <f aca="false">ROUND(('Raw Items'!F24+0)/G11*1.2,0)</f>
        <v>84</v>
      </c>
      <c r="G11" s="7" t="n">
        <v>1</v>
      </c>
    </row>
    <row r="12" customFormat="false" ht="15" hidden="false" customHeight="true" outlineLevel="0" collapsed="false">
      <c r="B12" s="5" t="s">
        <v>99</v>
      </c>
      <c r="C12" s="5" t="s">
        <v>100</v>
      </c>
      <c r="D12" s="5" t="s">
        <v>25</v>
      </c>
      <c r="E12" s="5" t="n">
        <v>3</v>
      </c>
      <c r="F12" s="6" t="n">
        <f aca="false">ROUND((F10+F11)/G12*1.2,0)</f>
        <v>122</v>
      </c>
      <c r="G12" s="7" t="n">
        <v>2</v>
      </c>
    </row>
    <row r="13" customFormat="false" ht="15" hidden="false" customHeight="true" outlineLevel="0" collapsed="false">
      <c r="B13" s="4" t="s">
        <v>101</v>
      </c>
      <c r="C13" s="4"/>
      <c r="D13" s="4"/>
      <c r="E13" s="4"/>
      <c r="F13" s="4"/>
      <c r="G13" s="4"/>
    </row>
    <row r="14" customFormat="false" ht="15" hidden="false" customHeight="true" outlineLevel="0" collapsed="false">
      <c r="B14" s="5" t="s">
        <v>102</v>
      </c>
      <c r="C14" s="5" t="s">
        <v>103</v>
      </c>
      <c r="D14" s="5" t="s">
        <v>25</v>
      </c>
      <c r="E14" s="5" t="n">
        <v>4</v>
      </c>
      <c r="F14" s="6" t="n">
        <f aca="false">ROUND(('Raw Items'!F30+0)/G14*1.2,0)</f>
        <v>150</v>
      </c>
      <c r="G14" s="7" t="n">
        <v>1</v>
      </c>
    </row>
    <row r="15" customFormat="false" ht="15" hidden="false" customHeight="true" outlineLevel="0" collapsed="false">
      <c r="B15" s="5" t="s">
        <v>104</v>
      </c>
      <c r="C15" s="5" t="s">
        <v>105</v>
      </c>
      <c r="D15" s="5" t="s">
        <v>25</v>
      </c>
      <c r="E15" s="5" t="n">
        <v>4</v>
      </c>
      <c r="F15" s="6" t="n">
        <f aca="false">ROUND(('Raw Items'!F31+0)/G15*1.2,0)</f>
        <v>600</v>
      </c>
      <c r="G15" s="7" t="n">
        <v>1</v>
      </c>
    </row>
    <row r="16" customFormat="false" ht="15" hidden="false" customHeight="true" outlineLevel="0" collapsed="false">
      <c r="B16" s="5" t="s">
        <v>106</v>
      </c>
      <c r="C16" s="5" t="s">
        <v>107</v>
      </c>
      <c r="D16" s="5" t="s">
        <v>25</v>
      </c>
      <c r="E16" s="5" t="n">
        <v>4</v>
      </c>
      <c r="F16" s="6" t="n">
        <f aca="false">ROUND((F15+F14)/G16*1.2,0)</f>
        <v>450</v>
      </c>
      <c r="G16" s="7" t="n">
        <v>2</v>
      </c>
    </row>
    <row r="17" customFormat="false" ht="15" hidden="false" customHeight="true" outlineLevel="0" collapsed="false">
      <c r="B17" s="5" t="s">
        <v>108</v>
      </c>
      <c r="C17" s="5" t="s">
        <v>109</v>
      </c>
      <c r="D17" s="5" t="s">
        <v>25</v>
      </c>
      <c r="E17" s="5" t="n">
        <v>4</v>
      </c>
      <c r="F17" s="6" t="n">
        <f aca="false">ROUND((F14+'Raw Items'!F32)/G17*1.2,0)</f>
        <v>420</v>
      </c>
      <c r="G17" s="7" t="n">
        <v>1</v>
      </c>
    </row>
    <row r="18" customFormat="false" ht="15" hidden="false" customHeight="true" outlineLevel="0" collapsed="false">
      <c r="B18" s="4" t="s">
        <v>110</v>
      </c>
      <c r="C18" s="4"/>
      <c r="D18" s="4"/>
      <c r="E18" s="4"/>
      <c r="F18" s="4"/>
      <c r="G18" s="4"/>
    </row>
    <row r="19" customFormat="false" ht="15" hidden="false" customHeight="true" outlineLevel="0" collapsed="false">
      <c r="B19" s="5" t="s">
        <v>111</v>
      </c>
      <c r="C19" s="5" t="s">
        <v>112</v>
      </c>
      <c r="D19" s="5" t="s">
        <v>25</v>
      </c>
      <c r="E19" s="5" t="n">
        <v>5</v>
      </c>
      <c r="F19" s="6" t="n">
        <f aca="false">ROUND(('Raw Items'!F36+F17)/G19*1.2,0)</f>
        <v>696</v>
      </c>
      <c r="G19" s="7" t="n">
        <v>1</v>
      </c>
    </row>
    <row r="20" customFormat="false" ht="15" hidden="false" customHeight="true" outlineLevel="0" collapsed="false">
      <c r="B20" s="5" t="s">
        <v>113</v>
      </c>
      <c r="C20" s="5" t="s">
        <v>114</v>
      </c>
      <c r="D20" s="5" t="s">
        <v>25</v>
      </c>
      <c r="E20" s="5" t="n">
        <v>5</v>
      </c>
      <c r="F20" s="6" t="n">
        <f aca="false">ROUND(('Raw Items'!F35+F17)/G20*1.2,0)</f>
        <v>756</v>
      </c>
      <c r="G20" s="7" t="n">
        <v>1</v>
      </c>
    </row>
    <row r="21" customFormat="false" ht="15" hidden="false" customHeight="true" outlineLevel="0" collapsed="false">
      <c r="B21" s="5" t="s">
        <v>115</v>
      </c>
      <c r="C21" s="5" t="s">
        <v>116</v>
      </c>
      <c r="D21" s="5" t="s">
        <v>25</v>
      </c>
      <c r="E21" s="5" t="n">
        <v>5</v>
      </c>
      <c r="F21" s="6" t="n">
        <f aca="false">ROUND(('Raw Items'!F37+0)/G21*1.2,0)</f>
        <v>348</v>
      </c>
      <c r="G21" s="7" t="n">
        <v>1</v>
      </c>
    </row>
    <row r="22" customFormat="false" ht="15" hidden="false" customHeight="true" outlineLevel="0" collapsed="false">
      <c r="B22" s="4" t="s">
        <v>117</v>
      </c>
      <c r="C22" s="4"/>
      <c r="D22" s="4"/>
      <c r="E22" s="4"/>
      <c r="F22" s="4"/>
      <c r="G22" s="4"/>
    </row>
    <row r="23" customFormat="false" ht="15" hidden="false" customHeight="true" outlineLevel="0" collapsed="false">
      <c r="B23" s="5" t="s">
        <v>118</v>
      </c>
      <c r="C23" s="5" t="s">
        <v>119</v>
      </c>
      <c r="D23" s="5" t="s">
        <v>25</v>
      </c>
      <c r="E23" s="5" t="n">
        <v>6</v>
      </c>
      <c r="F23" s="6" t="n">
        <f aca="false">ROUND(('Raw Items'!F38+0)/G23*1.2,0)</f>
        <v>780</v>
      </c>
      <c r="G23" s="7" t="n">
        <v>1</v>
      </c>
    </row>
    <row r="24" customFormat="false" ht="15" hidden="false" customHeight="true" outlineLevel="0" collapsed="false">
      <c r="B24" s="5" t="s">
        <v>120</v>
      </c>
      <c r="C24" s="5" t="s">
        <v>121</v>
      </c>
      <c r="D24" s="5" t="s">
        <v>25</v>
      </c>
      <c r="E24" s="5" t="n">
        <v>6</v>
      </c>
      <c r="F24" s="6" t="n">
        <f aca="false">ROUND(('Raw Items'!F39+0)/G24*1.2,0)</f>
        <v>2400</v>
      </c>
      <c r="G24" s="7" t="n">
        <v>1</v>
      </c>
    </row>
    <row r="25" customFormat="false" ht="15" hidden="false" customHeight="true" outlineLevel="0" collapsed="false">
      <c r="B25" s="5" t="s">
        <v>122</v>
      </c>
      <c r="C25" s="5" t="s">
        <v>123</v>
      </c>
      <c r="D25" s="5" t="s">
        <v>25</v>
      </c>
      <c r="E25" s="5" t="n">
        <v>6</v>
      </c>
      <c r="F25" s="6" t="n">
        <f aca="false">ROUND((F23+F24)/G25*1.2,0)</f>
        <v>1908</v>
      </c>
      <c r="G25" s="7" t="n">
        <v>2</v>
      </c>
    </row>
    <row r="26" customFormat="false" ht="15" hidden="false" customHeight="true" outlineLevel="0" collapsed="false">
      <c r="B26" s="5" t="s">
        <v>124</v>
      </c>
      <c r="C26" s="5" t="s">
        <v>125</v>
      </c>
      <c r="D26" s="5" t="s">
        <v>25</v>
      </c>
      <c r="E26" s="5" t="n">
        <v>6</v>
      </c>
      <c r="F26" s="6" t="n">
        <f aca="false">ROUND((F24+'Raw Items'!F35)/G26*1.2,0)</f>
        <v>3132</v>
      </c>
      <c r="G26" s="7" t="n">
        <v>1</v>
      </c>
    </row>
    <row r="27" customFormat="false" ht="15" hidden="false" customHeight="true" outlineLevel="0" collapsed="false">
      <c r="B27" s="5" t="s">
        <v>126</v>
      </c>
      <c r="C27" s="5" t="s">
        <v>127</v>
      </c>
      <c r="D27" s="5" t="s">
        <v>25</v>
      </c>
      <c r="E27" s="5" t="n">
        <v>6</v>
      </c>
      <c r="F27" s="6" t="n">
        <f aca="false">ROUND((F26+F21)/G27*1.2,0)</f>
        <v>4176</v>
      </c>
      <c r="G27" s="7" t="n">
        <v>1</v>
      </c>
    </row>
  </sheetData>
  <mergeCells count="6">
    <mergeCell ref="B1:G1"/>
    <mergeCell ref="B3:G3"/>
    <mergeCell ref="B9:G9"/>
    <mergeCell ref="B13:G13"/>
    <mergeCell ref="B18:G18"/>
    <mergeCell ref="B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K16" activeCellId="0" sqref="K16"/>
    </sheetView>
  </sheetViews>
  <sheetFormatPr defaultColWidth="8.71484375" defaultRowHeight="15" zeroHeight="false" outlineLevelRow="0" outlineLevelCol="0"/>
  <cols>
    <col collapsed="false" customWidth="true" hidden="false" outlineLevel="0" max="3" min="2" style="1" width="22"/>
    <col collapsed="false" customWidth="true" hidden="false" outlineLevel="0" max="5" min="4" style="1" width="15"/>
    <col collapsed="false" customWidth="true" hidden="false" outlineLevel="0" max="6" min="6" style="1" width="10"/>
    <col collapsed="false" customWidth="true" hidden="false" outlineLevel="0" max="7" min="7" style="1" width="16"/>
  </cols>
  <sheetData>
    <row r="1" customFormat="false" ht="15" hidden="false" customHeight="true" outlineLevel="0" collapsed="false">
      <c r="B1" s="2" t="s">
        <v>128</v>
      </c>
      <c r="C1" s="2"/>
      <c r="D1" s="2"/>
      <c r="E1" s="2"/>
      <c r="F1" s="2"/>
      <c r="G1" s="2"/>
    </row>
    <row r="2" customFormat="false" ht="15" hidden="false" customHeight="true" outlineLevel="0" collapsed="false"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82</v>
      </c>
    </row>
    <row r="3" customFormat="false" ht="15" hidden="false" customHeight="true" outlineLevel="0" collapsed="false">
      <c r="B3" s="4" t="s">
        <v>129</v>
      </c>
      <c r="C3" s="4"/>
      <c r="D3" s="4"/>
      <c r="E3" s="4"/>
      <c r="F3" s="4"/>
      <c r="G3" s="4"/>
    </row>
    <row r="4" customFormat="false" ht="15" hidden="false" customHeight="true" outlineLevel="0" collapsed="false">
      <c r="B4" s="5" t="s">
        <v>130</v>
      </c>
      <c r="C4" s="5" t="s">
        <v>131</v>
      </c>
      <c r="D4" s="5" t="s">
        <v>35</v>
      </c>
      <c r="E4" s="5" t="n">
        <v>1</v>
      </c>
      <c r="F4" s="6" t="n">
        <f aca="false">ROUND(('Raw Items'!F9+'Raw Items'!F7)/G4*1.2,0)</f>
        <v>16</v>
      </c>
      <c r="G4" s="7" t="n">
        <v>1</v>
      </c>
    </row>
    <row r="5" customFormat="false" ht="15" hidden="false" customHeight="true" outlineLevel="0" collapsed="false">
      <c r="B5" s="5" t="s">
        <v>132</v>
      </c>
      <c r="C5" s="5" t="s">
        <v>133</v>
      </c>
      <c r="D5" s="5" t="s">
        <v>35</v>
      </c>
      <c r="E5" s="5" t="n">
        <v>1</v>
      </c>
      <c r="F5" s="6" t="n">
        <f aca="false">ROUND(('Raw Items'!F6+'Raw Items'!F7)/G5*1.2,0)</f>
        <v>10</v>
      </c>
      <c r="G5" s="7" t="n">
        <v>1</v>
      </c>
    </row>
    <row r="6" customFormat="false" ht="15" hidden="false" customHeight="true" outlineLevel="0" collapsed="false">
      <c r="B6" s="5" t="s">
        <v>134</v>
      </c>
      <c r="C6" s="5" t="s">
        <v>135</v>
      </c>
      <c r="D6" s="5" t="s">
        <v>35</v>
      </c>
      <c r="E6" s="5" t="n">
        <v>1</v>
      </c>
      <c r="F6" s="6" t="n">
        <f aca="false">ROUND(('Raw Items'!F5+'Raw Items'!F8)/G6*1.2,0)</f>
        <v>8</v>
      </c>
      <c r="G6" s="7" t="n">
        <v>1</v>
      </c>
    </row>
    <row r="7" customFormat="false" ht="15" hidden="false" customHeight="true" outlineLevel="0" collapsed="false">
      <c r="B7" s="5" t="s">
        <v>136</v>
      </c>
      <c r="C7" s="5" t="s">
        <v>137</v>
      </c>
      <c r="D7" s="5" t="s">
        <v>35</v>
      </c>
      <c r="E7" s="5" t="n">
        <v>1</v>
      </c>
      <c r="F7" s="6" t="n">
        <f aca="false">ROUND(('Raw Items'!F4+'Raw Items'!F6)/G7*1.2,0)</f>
        <v>5</v>
      </c>
      <c r="G7" s="7" t="n">
        <v>1</v>
      </c>
    </row>
    <row r="8" customFormat="false" ht="15" hidden="false" customHeight="true" outlineLevel="0" collapsed="false">
      <c r="B8" s="5" t="s">
        <v>138</v>
      </c>
      <c r="C8" s="5" t="s">
        <v>139</v>
      </c>
      <c r="D8" s="5" t="s">
        <v>35</v>
      </c>
      <c r="E8" s="5" t="n">
        <v>1</v>
      </c>
      <c r="F8" s="6" t="n">
        <f aca="false">ROUND(('Raw Items'!F7+0)/G8*1.2,0)</f>
        <v>6</v>
      </c>
      <c r="G8" s="7" t="n">
        <v>1</v>
      </c>
    </row>
    <row r="9" customFormat="false" ht="15" hidden="false" customHeight="true" outlineLevel="0" collapsed="false">
      <c r="B9" s="5" t="s">
        <v>140</v>
      </c>
      <c r="C9" s="5" t="s">
        <v>141</v>
      </c>
      <c r="D9" s="5" t="s">
        <v>35</v>
      </c>
      <c r="E9" s="5" t="n">
        <v>1</v>
      </c>
      <c r="F9" s="6" t="n">
        <f aca="false">ROUND(('Raw Items'!F6+'Raw Items'!F8)/G9*1.2,0)</f>
        <v>10</v>
      </c>
      <c r="G9" s="7" t="n">
        <v>1</v>
      </c>
    </row>
    <row r="10" customFormat="false" ht="15" hidden="false" customHeight="true" outlineLevel="0" collapsed="false">
      <c r="B10" s="4" t="s">
        <v>83</v>
      </c>
      <c r="C10" s="4"/>
      <c r="D10" s="4"/>
      <c r="E10" s="4"/>
      <c r="F10" s="4"/>
      <c r="G10" s="4"/>
    </row>
    <row r="11" customFormat="false" ht="15" hidden="false" customHeight="true" outlineLevel="0" collapsed="false">
      <c r="B11" s="5" t="s">
        <v>142</v>
      </c>
      <c r="C11" s="5" t="s">
        <v>143</v>
      </c>
      <c r="D11" s="5" t="s">
        <v>35</v>
      </c>
      <c r="E11" s="5" t="n">
        <v>2</v>
      </c>
      <c r="F11" s="6" t="n">
        <f aca="false">ROUND((F4+'Raw Items'!F12)/G11*1.2,0)</f>
        <v>25</v>
      </c>
      <c r="G11" s="7" t="n">
        <v>1</v>
      </c>
    </row>
    <row r="12" customFormat="false" ht="15" hidden="false" customHeight="true" outlineLevel="0" collapsed="false">
      <c r="B12" s="5" t="s">
        <v>144</v>
      </c>
      <c r="C12" s="5" t="s">
        <v>145</v>
      </c>
      <c r="D12" s="5" t="s">
        <v>35</v>
      </c>
      <c r="E12" s="5" t="n">
        <v>2</v>
      </c>
      <c r="F12" s="6" t="n">
        <f aca="false">ROUND(('Raw Items'!F15+'Raw Items'!F12)/G12*1.2,0)</f>
        <v>18</v>
      </c>
      <c r="G12" s="7" t="n">
        <v>1</v>
      </c>
    </row>
    <row r="13" customFormat="false" ht="15" hidden="false" customHeight="true" outlineLevel="0" collapsed="false">
      <c r="B13" s="5" t="s">
        <v>146</v>
      </c>
      <c r="C13" s="5" t="s">
        <v>147</v>
      </c>
      <c r="D13" s="5" t="s">
        <v>35</v>
      </c>
      <c r="E13" s="5" t="n">
        <v>2</v>
      </c>
      <c r="F13" s="6" t="n">
        <f aca="false">ROUND(('Ingots and Alloys'!F7+'Ingots and Alloys'!F7)/G13*1.2,0)</f>
        <v>70</v>
      </c>
      <c r="G13" s="7" t="n">
        <v>1</v>
      </c>
    </row>
    <row r="14" customFormat="false" ht="15" hidden="false" customHeight="true" outlineLevel="0" collapsed="false">
      <c r="B14" s="5" t="s">
        <v>148</v>
      </c>
      <c r="C14" s="5" t="s">
        <v>149</v>
      </c>
      <c r="D14" s="5" t="s">
        <v>35</v>
      </c>
      <c r="E14" s="5" t="n">
        <v>2</v>
      </c>
      <c r="F14" s="6" t="n">
        <f aca="false">ROUND(('Raw Items'!F16+'Raw Items'!F16)/G14*1.2,0)</f>
        <v>24</v>
      </c>
      <c r="G14" s="7" t="n">
        <v>1</v>
      </c>
    </row>
    <row r="15" customFormat="false" ht="15" hidden="false" customHeight="true" outlineLevel="0" collapsed="false">
      <c r="B15" s="5" t="s">
        <v>150</v>
      </c>
      <c r="C15" s="5" t="s">
        <v>151</v>
      </c>
      <c r="D15" s="5" t="s">
        <v>35</v>
      </c>
      <c r="E15" s="5" t="n">
        <v>2</v>
      </c>
      <c r="F15" s="6" t="n">
        <f aca="false">ROUND(('Ingots and Alloys'!F4+F8)/G15*1.2,0)</f>
        <v>36</v>
      </c>
      <c r="G15" s="7" t="n">
        <v>1</v>
      </c>
    </row>
    <row r="16" customFormat="false" ht="15" hidden="false" customHeight="true" outlineLevel="0" collapsed="false">
      <c r="B16" s="5" t="s">
        <v>152</v>
      </c>
      <c r="C16" s="5" t="s">
        <v>153</v>
      </c>
      <c r="D16" s="5" t="s">
        <v>35</v>
      </c>
      <c r="E16" s="5" t="n">
        <v>2</v>
      </c>
      <c r="F16" s="6" t="n">
        <f aca="false">ROUND(('Raw Items'!F12+'Raw Items'!F9)/G16*1.2,0)</f>
        <v>16</v>
      </c>
      <c r="G16" s="7" t="n">
        <v>1</v>
      </c>
    </row>
    <row r="17" customFormat="false" ht="15" hidden="false" customHeight="true" outlineLevel="0" collapsed="false">
      <c r="B17" s="4" t="s">
        <v>94</v>
      </c>
      <c r="C17" s="4"/>
      <c r="D17" s="4"/>
      <c r="E17" s="4"/>
      <c r="F17" s="4"/>
      <c r="G17" s="4"/>
    </row>
    <row r="18" customFormat="false" ht="15" hidden="false" customHeight="true" outlineLevel="0" collapsed="false">
      <c r="B18" s="5" t="s">
        <v>154</v>
      </c>
      <c r="C18" s="5" t="s">
        <v>155</v>
      </c>
      <c r="D18" s="5" t="s">
        <v>35</v>
      </c>
      <c r="E18" s="5" t="n">
        <v>3</v>
      </c>
      <c r="F18" s="6" t="n">
        <f aca="false">ROUND((F4+'Raw Items'!F14)/G18*1.2,0)</f>
        <v>34</v>
      </c>
      <c r="G18" s="7" t="n">
        <v>1</v>
      </c>
    </row>
    <row r="19" customFormat="false" ht="15" hidden="false" customHeight="true" outlineLevel="0" collapsed="false">
      <c r="B19" s="5" t="s">
        <v>156</v>
      </c>
      <c r="C19" s="5" t="s">
        <v>157</v>
      </c>
      <c r="D19" s="5" t="s">
        <v>35</v>
      </c>
      <c r="E19" s="5" t="n">
        <v>3</v>
      </c>
      <c r="F19" s="6" t="n">
        <f aca="false">ROUND(('Raw Items'!F22+'Raw Items'!F20)/G19*1.2,0)</f>
        <v>54</v>
      </c>
      <c r="G19" s="7" t="n">
        <v>1</v>
      </c>
    </row>
    <row r="20" customFormat="false" ht="15" hidden="false" customHeight="true" outlineLevel="0" collapsed="false">
      <c r="B20" s="5" t="s">
        <v>158</v>
      </c>
      <c r="C20" s="5" t="s">
        <v>159</v>
      </c>
      <c r="D20" s="5" t="s">
        <v>35</v>
      </c>
      <c r="E20" s="5" t="n">
        <v>3</v>
      </c>
      <c r="F20" s="6" t="n">
        <f aca="false">ROUND(('Ingots and Alloys'!F8+'Ingots and Alloys'!F8)/G20*1.2,0)</f>
        <v>156</v>
      </c>
      <c r="G20" s="7" t="n">
        <v>1</v>
      </c>
    </row>
    <row r="21" customFormat="false" ht="15" hidden="false" customHeight="true" outlineLevel="0" collapsed="false">
      <c r="B21" s="5" t="s">
        <v>160</v>
      </c>
      <c r="C21" s="5" t="s">
        <v>161</v>
      </c>
      <c r="D21" s="5" t="s">
        <v>35</v>
      </c>
      <c r="E21" s="5" t="n">
        <v>3</v>
      </c>
      <c r="F21" s="6" t="n">
        <f aca="false">ROUND(('Raw Items'!F21+'Raw Items'!F21)/G21*1.2,0)</f>
        <v>96</v>
      </c>
      <c r="G21" s="7" t="n">
        <v>1</v>
      </c>
    </row>
    <row r="22" customFormat="false" ht="15" hidden="false" customHeight="true" outlineLevel="0" collapsed="false">
      <c r="B22" s="5" t="s">
        <v>162</v>
      </c>
      <c r="C22" s="5" t="s">
        <v>163</v>
      </c>
      <c r="D22" s="5" t="s">
        <v>25</v>
      </c>
      <c r="E22" s="5" t="n">
        <v>3</v>
      </c>
      <c r="F22" s="6" t="n">
        <f aca="false">ROUND((F8+'Ingots and Alloys'!F10)/G22*1.2,0)</f>
        <v>151</v>
      </c>
      <c r="G22" s="7" t="n">
        <v>1</v>
      </c>
    </row>
    <row r="23" customFormat="false" ht="15" hidden="false" customHeight="true" outlineLevel="0" collapsed="false">
      <c r="B23" s="5" t="s">
        <v>164</v>
      </c>
      <c r="C23" s="5" t="s">
        <v>165</v>
      </c>
      <c r="D23" s="5" t="s">
        <v>35</v>
      </c>
      <c r="E23" s="5" t="n">
        <v>3</v>
      </c>
      <c r="F23" s="6" t="n">
        <f aca="false">ROUND(('Raw Items'!F20+'Ingots and Alloys'!F8)/G23*1.2,0)</f>
        <v>96</v>
      </c>
      <c r="G23" s="7" t="n">
        <v>1</v>
      </c>
    </row>
    <row r="24" customFormat="false" ht="15" hidden="false" customHeight="true" outlineLevel="0" collapsed="false">
      <c r="B24" s="4" t="s">
        <v>101</v>
      </c>
      <c r="C24" s="4"/>
      <c r="D24" s="4"/>
      <c r="E24" s="4"/>
      <c r="F24" s="4"/>
      <c r="G24" s="4"/>
    </row>
    <row r="25" customFormat="false" ht="15" hidden="false" customHeight="true" outlineLevel="0" collapsed="false">
      <c r="B25" s="5" t="s">
        <v>166</v>
      </c>
      <c r="C25" s="5" t="s">
        <v>167</v>
      </c>
      <c r="D25" s="5" t="s">
        <v>35</v>
      </c>
      <c r="E25" s="5" t="n">
        <v>4</v>
      </c>
      <c r="F25" s="6" t="n">
        <f aca="false">ROUND((F4+'Raw Items'!F28)/G25*1.2,0)</f>
        <v>79</v>
      </c>
      <c r="G25" s="7" t="n">
        <v>1</v>
      </c>
    </row>
    <row r="26" customFormat="false" ht="15" hidden="false" customHeight="true" outlineLevel="0" collapsed="false">
      <c r="B26" s="5" t="s">
        <v>168</v>
      </c>
      <c r="C26" s="5" t="s">
        <v>169</v>
      </c>
      <c r="D26" s="5" t="s">
        <v>35</v>
      </c>
      <c r="E26" s="5" t="n">
        <v>4</v>
      </c>
      <c r="F26" s="6" t="n">
        <f aca="false">ROUND(('Raw Items'!F27+'Raw Items'!F27)/G26*1.2,0)</f>
        <v>72</v>
      </c>
      <c r="G26" s="7" t="n">
        <v>1</v>
      </c>
    </row>
    <row r="27" customFormat="false" ht="15" hidden="false" customHeight="true" outlineLevel="0" collapsed="false">
      <c r="B27" s="5" t="s">
        <v>170</v>
      </c>
      <c r="C27" s="5" t="s">
        <v>171</v>
      </c>
      <c r="D27" s="5" t="s">
        <v>25</v>
      </c>
      <c r="E27" s="5" t="n">
        <v>4</v>
      </c>
      <c r="F27" s="6" t="n">
        <f aca="false">ROUND(('Ingots and Alloys'!F17+'Ingots and Alloys'!F17)/G27*1.2,0)</f>
        <v>1008</v>
      </c>
      <c r="G27" s="7" t="n">
        <v>1</v>
      </c>
    </row>
    <row r="28" customFormat="false" ht="15" hidden="false" customHeight="true" outlineLevel="0" collapsed="false">
      <c r="B28" s="5" t="s">
        <v>172</v>
      </c>
      <c r="C28" s="5" t="s">
        <v>173</v>
      </c>
      <c r="D28" s="5" t="s">
        <v>35</v>
      </c>
      <c r="E28" s="5" t="n">
        <v>4</v>
      </c>
      <c r="F28" s="6" t="n">
        <f aca="false">ROUND(('Raw Items'!F29+'Raw Items'!F29)/G28*1.2,0)</f>
        <v>144</v>
      </c>
      <c r="G28" s="7" t="n">
        <v>1</v>
      </c>
    </row>
    <row r="29" customFormat="false" ht="15" hidden="false" customHeight="true" outlineLevel="0" collapsed="false">
      <c r="B29" s="5" t="s">
        <v>174</v>
      </c>
      <c r="C29" s="5" t="s">
        <v>175</v>
      </c>
      <c r="D29" s="5" t="s">
        <v>35</v>
      </c>
      <c r="E29" s="5" t="n">
        <v>4</v>
      </c>
      <c r="F29" s="6" t="n">
        <f aca="false">ROUND((F22+'Raw Items'!F28)/G29*1.2,0)</f>
        <v>241</v>
      </c>
      <c r="G29" s="7" t="n">
        <v>1</v>
      </c>
    </row>
    <row r="30" customFormat="false" ht="15" hidden="false" customHeight="true" outlineLevel="0" collapsed="false">
      <c r="B30" s="5" t="s">
        <v>176</v>
      </c>
      <c r="C30" s="5" t="s">
        <v>177</v>
      </c>
      <c r="D30" s="5" t="s">
        <v>25</v>
      </c>
      <c r="E30" s="5" t="n">
        <v>4</v>
      </c>
      <c r="F30" s="6" t="n">
        <f aca="false">ROUND(('Ingots and Alloys'!F14+F28)/G30*1.2,0)</f>
        <v>353</v>
      </c>
      <c r="G30" s="7" t="n">
        <v>1</v>
      </c>
    </row>
    <row r="31" customFormat="false" ht="15" hidden="false" customHeight="true" outlineLevel="0" collapsed="false">
      <c r="B31" s="4" t="s">
        <v>110</v>
      </c>
      <c r="C31" s="4"/>
      <c r="D31" s="4"/>
      <c r="E31" s="4"/>
      <c r="F31" s="4"/>
      <c r="G31" s="4"/>
    </row>
    <row r="32" customFormat="false" ht="15" hidden="false" customHeight="true" outlineLevel="0" collapsed="false">
      <c r="B32" s="5" t="s">
        <v>178</v>
      </c>
      <c r="C32" s="5" t="s">
        <v>179</v>
      </c>
      <c r="D32" s="5" t="s">
        <v>35</v>
      </c>
      <c r="E32" s="5" t="n">
        <v>5</v>
      </c>
      <c r="F32" s="6" t="n">
        <f aca="false">ROUND((F4+'Raw Items'!F36)/G32*1.2,0)</f>
        <v>211</v>
      </c>
      <c r="G32" s="7" t="n">
        <v>1</v>
      </c>
    </row>
    <row r="33" customFormat="false" ht="15" hidden="false" customHeight="true" outlineLevel="0" collapsed="false">
      <c r="B33" s="5" t="s">
        <v>180</v>
      </c>
      <c r="C33" s="5" t="s">
        <v>181</v>
      </c>
      <c r="D33" s="5" t="s">
        <v>35</v>
      </c>
      <c r="E33" s="5" t="n">
        <v>5</v>
      </c>
      <c r="F33" s="6" t="n">
        <f aca="false">ROUND(('Raw Items'!F36+'Raw Items'!F34)/G33*1.2,0)</f>
        <v>270</v>
      </c>
      <c r="G33" s="7" t="n">
        <v>1</v>
      </c>
    </row>
    <row r="34" customFormat="false" ht="27.75" hidden="false" customHeight="true" outlineLevel="0" collapsed="false">
      <c r="B34" s="5" t="s">
        <v>182</v>
      </c>
      <c r="C34" s="5" t="s">
        <v>183</v>
      </c>
      <c r="D34" s="5" t="s">
        <v>25</v>
      </c>
      <c r="E34" s="5" t="n">
        <v>5</v>
      </c>
      <c r="F34" s="6" t="n">
        <f aca="false">ROUND(('Ingots and Alloys'!F20+'Ingots and Alloys'!F20)/G34*1.2,0)</f>
        <v>1814</v>
      </c>
      <c r="G34" s="7" t="n">
        <v>1</v>
      </c>
    </row>
    <row r="35" customFormat="false" ht="15" hidden="false" customHeight="true" outlineLevel="0" collapsed="false">
      <c r="B35" s="5" t="s">
        <v>184</v>
      </c>
      <c r="C35" s="5" t="s">
        <v>185</v>
      </c>
      <c r="D35" s="5" t="s">
        <v>35</v>
      </c>
      <c r="E35" s="5" t="n">
        <v>5</v>
      </c>
      <c r="F35" s="6" t="n">
        <f aca="false">ROUND(('Raw Items'!F34+F32)/G35*1.2,0)</f>
        <v>331</v>
      </c>
      <c r="G35" s="7" t="n">
        <v>1</v>
      </c>
    </row>
    <row r="36" customFormat="false" ht="15" hidden="false" customHeight="true" outlineLevel="0" collapsed="false">
      <c r="B36" s="5" t="s">
        <v>186</v>
      </c>
      <c r="C36" s="5" t="s">
        <v>187</v>
      </c>
      <c r="D36" s="5" t="s">
        <v>25</v>
      </c>
      <c r="E36" s="5" t="n">
        <v>5</v>
      </c>
      <c r="F36" s="6" t="n">
        <f aca="false">ROUND((F29+'Ingots and Alloys'!F21)/G36*1.2,0)</f>
        <v>707</v>
      </c>
      <c r="G36" s="7" t="n">
        <v>1</v>
      </c>
    </row>
    <row r="37" customFormat="false" ht="15" hidden="false" customHeight="true" outlineLevel="0" collapsed="false">
      <c r="B37" s="5" t="s">
        <v>188</v>
      </c>
      <c r="C37" s="5" t="s">
        <v>189</v>
      </c>
      <c r="D37" s="5" t="s">
        <v>25</v>
      </c>
      <c r="E37" s="5" t="n">
        <v>5</v>
      </c>
      <c r="F37" s="6" t="n">
        <f aca="false">ROUND(('Ingots and Alloys'!F19+F35)/G37*1.2,0)</f>
        <v>1232</v>
      </c>
      <c r="G37" s="7" t="n">
        <v>1</v>
      </c>
    </row>
  </sheetData>
  <mergeCells count="6">
    <mergeCell ref="B1:G1"/>
    <mergeCell ref="B3:G3"/>
    <mergeCell ref="B10:G10"/>
    <mergeCell ref="B17:G17"/>
    <mergeCell ref="B24:G24"/>
    <mergeCell ref="B31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L21" activeCellId="0" sqref="L2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15"/>
    <col collapsed="false" customWidth="true" hidden="false" outlineLevel="0" max="4" min="4" style="1" width="9"/>
    <col collapsed="false" customWidth="true" hidden="false" outlineLevel="0" max="5" min="5" style="1" width="22"/>
    <col collapsed="false" customWidth="true" hidden="false" outlineLevel="0" max="6" min="6" style="1" width="11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13.29"/>
    <col collapsed="false" customWidth="true" hidden="false" outlineLevel="0" max="10" min="10" style="1" width="13.71"/>
    <col collapsed="false" customWidth="true" hidden="false" outlineLevel="0" max="12" min="12" style="1" width="17"/>
  </cols>
  <sheetData>
    <row r="1" customFormat="false" ht="15" hidden="false" customHeight="true" outlineLevel="0" collapsed="false">
      <c r="B1" s="3" t="s">
        <v>190</v>
      </c>
      <c r="C1" s="3"/>
      <c r="D1" s="3"/>
      <c r="E1" s="3"/>
      <c r="F1" s="3"/>
      <c r="G1" s="3"/>
      <c r="H1" s="3"/>
      <c r="I1" s="3"/>
      <c r="J1" s="3"/>
    </row>
    <row r="2" customFormat="false" ht="49.5" hidden="false" customHeight="true" outlineLevel="0" collapsed="false">
      <c r="B2" s="3" t="s">
        <v>191</v>
      </c>
      <c r="C2" s="3" t="s">
        <v>3</v>
      </c>
      <c r="D2" s="3" t="s">
        <v>5</v>
      </c>
      <c r="E2" s="3" t="s">
        <v>192</v>
      </c>
      <c r="F2" s="3" t="s">
        <v>193</v>
      </c>
      <c r="G2" s="3" t="s">
        <v>194</v>
      </c>
      <c r="H2" s="3" t="s">
        <v>195</v>
      </c>
      <c r="I2" s="3" t="s">
        <v>196</v>
      </c>
      <c r="J2" s="3" t="s">
        <v>197</v>
      </c>
    </row>
    <row r="3" customFormat="false" ht="15" hidden="false" customHeight="true" outlineLevel="0" collapsed="false">
      <c r="B3" s="8" t="s">
        <v>6</v>
      </c>
      <c r="C3" s="8"/>
      <c r="D3" s="8"/>
      <c r="E3" s="8"/>
      <c r="F3" s="8"/>
      <c r="G3" s="8"/>
      <c r="H3" s="8"/>
      <c r="I3" s="8"/>
      <c r="J3" s="8"/>
    </row>
    <row r="4" customFormat="false" ht="15" hidden="false" customHeight="true" outlineLevel="0" collapsed="false">
      <c r="B4" s="3" t="str">
        <f aca="false">'Raw Items'!B4</f>
        <v>Земля</v>
      </c>
      <c r="C4" s="5" t="str">
        <f aca="false">'Raw Items'!D4</f>
        <v>Filler</v>
      </c>
      <c r="D4" s="5" t="n">
        <f aca="false">'Raw Items'!F4</f>
        <v>1</v>
      </c>
      <c r="E4" s="5" t="s">
        <v>7</v>
      </c>
      <c r="F4" s="9" t="n">
        <v>10</v>
      </c>
      <c r="G4" s="10" t="n">
        <v>1</v>
      </c>
      <c r="H4" s="11" t="n">
        <f aca="false">D4*G4/F4</f>
        <v>0.1</v>
      </c>
      <c r="I4" s="12" t="n">
        <f aca="false">D4/D$4</f>
        <v>1</v>
      </c>
      <c r="J4" s="12" t="n">
        <f aca="false">H4/H$4</f>
        <v>1</v>
      </c>
    </row>
    <row r="5" customFormat="false" ht="15" hidden="false" customHeight="true" outlineLevel="0" collapsed="false">
      <c r="B5" s="5" t="str">
        <f aca="false">'Raw Items'!B5</f>
        <v>Корінь</v>
      </c>
      <c r="C5" s="5" t="str">
        <f aca="false">'Raw Items'!D5</f>
        <v>None</v>
      </c>
      <c r="D5" s="5" t="n">
        <f aca="false">'Raw Items'!F5</f>
        <v>2</v>
      </c>
      <c r="E5" s="5" t="s">
        <v>198</v>
      </c>
      <c r="F5" s="7" t="n">
        <v>12</v>
      </c>
      <c r="G5" s="13" t="n">
        <v>1</v>
      </c>
      <c r="H5" s="11" t="n">
        <f aca="false">D5*G5/F5</f>
        <v>0.166666666666667</v>
      </c>
      <c r="I5" s="12" t="n">
        <f aca="false">D5/D$4</f>
        <v>2</v>
      </c>
      <c r="J5" s="12" t="n">
        <f aca="false">H5/H$4</f>
        <v>1.66666666666667</v>
      </c>
    </row>
    <row r="6" customFormat="false" ht="15" hidden="false" customHeight="true" outlineLevel="0" collapsed="false">
      <c r="B6" s="5" t="str">
        <f aca="false">'Raw Items'!B6</f>
        <v>Глина</v>
      </c>
      <c r="C6" s="5" t="str">
        <f aca="false">'Raw Items'!D6</f>
        <v>Filler</v>
      </c>
      <c r="D6" s="5" t="n">
        <f aca="false">'Raw Items'!F6</f>
        <v>3</v>
      </c>
      <c r="E6" s="5" t="s">
        <v>14</v>
      </c>
      <c r="F6" s="7" t="n">
        <v>12</v>
      </c>
      <c r="G6" s="13" t="n">
        <v>1</v>
      </c>
      <c r="H6" s="11" t="n">
        <f aca="false">D6*G6/F6</f>
        <v>0.25</v>
      </c>
      <c r="I6" s="12" t="n">
        <f aca="false">D6/D$4</f>
        <v>3</v>
      </c>
      <c r="J6" s="12" t="n">
        <f aca="false">H6/H$4</f>
        <v>2.5</v>
      </c>
    </row>
    <row r="7" customFormat="false" ht="15" hidden="false" customHeight="true" outlineLevel="0" collapsed="false">
      <c r="B7" s="5" t="str">
        <f aca="false">'Raw Items'!B7</f>
        <v>Пісок</v>
      </c>
      <c r="C7" s="5" t="str">
        <f aca="false">'Raw Items'!D7</f>
        <v>MassMaterial</v>
      </c>
      <c r="D7" s="5" t="n">
        <f aca="false">'Raw Items'!F7</f>
        <v>5</v>
      </c>
      <c r="E7" s="5" t="s">
        <v>16</v>
      </c>
      <c r="F7" s="7" t="n">
        <v>10</v>
      </c>
      <c r="G7" s="13" t="n">
        <v>1</v>
      </c>
      <c r="H7" s="11" t="n">
        <f aca="false">D7*G7/F7</f>
        <v>0.5</v>
      </c>
      <c r="I7" s="12" t="n">
        <f aca="false">D7/D$4</f>
        <v>5</v>
      </c>
      <c r="J7" s="12" t="n">
        <f aca="false">H7/H$4</f>
        <v>5</v>
      </c>
    </row>
    <row r="8" customFormat="false" ht="15" hidden="false" customHeight="true" outlineLevel="0" collapsed="false">
      <c r="B8" s="5" t="str">
        <f aca="false">'Raw Items'!B8</f>
        <v>Кремінь</v>
      </c>
      <c r="C8" s="5" t="str">
        <f aca="false">'Raw Items'!D8</f>
        <v>MassMaterial</v>
      </c>
      <c r="D8" s="5" t="n">
        <f aca="false">'Raw Items'!F8</f>
        <v>5</v>
      </c>
      <c r="E8" s="5" t="s">
        <v>199</v>
      </c>
      <c r="F8" s="7" t="n">
        <v>15</v>
      </c>
      <c r="G8" s="13" t="n">
        <v>1</v>
      </c>
      <c r="H8" s="11" t="n">
        <f aca="false">D8*G8/F8</f>
        <v>0.333333333333333</v>
      </c>
      <c r="I8" s="12" t="n">
        <f aca="false">D8/D$4</f>
        <v>5</v>
      </c>
      <c r="J8" s="12" t="n">
        <f aca="false">H8/H$4</f>
        <v>3.33333333333333</v>
      </c>
    </row>
    <row r="9" customFormat="false" ht="15" hidden="false" customHeight="true" outlineLevel="0" collapsed="false">
      <c r="B9" s="5" t="str">
        <f aca="false">'Raw Items'!B9</f>
        <v>Вапно</v>
      </c>
      <c r="C9" s="5" t="str">
        <f aca="false">'Raw Items'!D9</f>
        <v>MassMaterial</v>
      </c>
      <c r="D9" s="5" t="n">
        <f aca="false">'Raw Items'!F9</f>
        <v>8</v>
      </c>
      <c r="E9" s="5" t="s">
        <v>200</v>
      </c>
      <c r="F9" s="7" t="n">
        <v>18</v>
      </c>
      <c r="G9" s="13" t="n">
        <v>1</v>
      </c>
      <c r="H9" s="11" t="n">
        <f aca="false">D9*G9/F9</f>
        <v>0.444444444444444</v>
      </c>
      <c r="I9" s="12" t="n">
        <f aca="false">D9/D$4</f>
        <v>8</v>
      </c>
      <c r="J9" s="12" t="n">
        <f aca="false">H9/H$4</f>
        <v>4.44444444444444</v>
      </c>
    </row>
    <row r="10" customFormat="false" ht="15" hidden="false" customHeight="true" outlineLevel="0" collapsed="false">
      <c r="B10" s="5" t="str">
        <f aca="false">'Raw Items'!B10</f>
        <v>Бурштин</v>
      </c>
      <c r="C10" s="5" t="str">
        <f aca="false">'Raw Items'!D10</f>
        <v>RareMaterial</v>
      </c>
      <c r="D10" s="5" t="n">
        <f aca="false">'Raw Items'!F10</f>
        <v>30</v>
      </c>
      <c r="E10" s="5" t="s">
        <v>23</v>
      </c>
      <c r="F10" s="7" t="n">
        <v>25</v>
      </c>
      <c r="G10" s="13" t="n">
        <v>1</v>
      </c>
      <c r="H10" s="11" t="n">
        <f aca="false">D10*G10/F10</f>
        <v>1.2</v>
      </c>
      <c r="I10" s="12" t="n">
        <f aca="false">D10/D$4</f>
        <v>30</v>
      </c>
      <c r="J10" s="12" t="n">
        <f aca="false">H10/H$4</f>
        <v>12</v>
      </c>
    </row>
    <row r="11" customFormat="false" ht="15" hidden="false" customHeight="true" outlineLevel="0" collapsed="false">
      <c r="B11" s="8" t="s">
        <v>26</v>
      </c>
      <c r="C11" s="8"/>
      <c r="D11" s="8"/>
      <c r="E11" s="8"/>
      <c r="F11" s="8"/>
      <c r="G11" s="8"/>
      <c r="H11" s="8"/>
      <c r="I11" s="8"/>
      <c r="J11" s="8"/>
    </row>
    <row r="12" customFormat="false" ht="15" hidden="false" customHeight="true" outlineLevel="0" collapsed="false">
      <c r="B12" s="3" t="str">
        <f aca="false">'Raw Items'!B12</f>
        <v>Бруківка</v>
      </c>
      <c r="C12" s="5" t="str">
        <f aca="false">'Raw Items'!D12</f>
        <v>Filler</v>
      </c>
      <c r="D12" s="5" t="n">
        <f aca="false">'Raw Items'!F12</f>
        <v>5</v>
      </c>
      <c r="E12" s="5" t="s">
        <v>201</v>
      </c>
      <c r="F12" s="9" t="n">
        <v>25</v>
      </c>
      <c r="G12" s="10" t="n">
        <v>1</v>
      </c>
      <c r="H12" s="11" t="n">
        <f aca="false">D12*G12/F12</f>
        <v>0.2</v>
      </c>
      <c r="I12" s="12" t="n">
        <f aca="false">D12/D$12</f>
        <v>1</v>
      </c>
      <c r="J12" s="12" t="n">
        <f aca="false">H12/H$12</f>
        <v>1</v>
      </c>
    </row>
    <row r="13" customFormat="false" ht="15" hidden="false" customHeight="true" outlineLevel="0" collapsed="false">
      <c r="B13" s="5" t="str">
        <f aca="false">'Raw Items'!B13</f>
        <v>Мідна руда</v>
      </c>
      <c r="C13" s="5" t="str">
        <f aca="false">'Raw Items'!D13</f>
        <v>MassMaterial</v>
      </c>
      <c r="D13" s="5" t="n">
        <f aca="false">'Raw Items'!F13</f>
        <v>20</v>
      </c>
      <c r="E13" s="5" t="s">
        <v>202</v>
      </c>
      <c r="F13" s="7" t="n">
        <v>30</v>
      </c>
      <c r="G13" s="13" t="n">
        <v>1</v>
      </c>
      <c r="H13" s="11" t="n">
        <f aca="false">D13*G13/F13</f>
        <v>0.666666666666667</v>
      </c>
      <c r="I13" s="12" t="n">
        <f aca="false">D13/D$12</f>
        <v>4</v>
      </c>
      <c r="J13" s="12" t="n">
        <f aca="false">H13/H$12</f>
        <v>3.33333333333333</v>
      </c>
    </row>
    <row r="14" customFormat="false" ht="15" hidden="false" customHeight="true" outlineLevel="0" collapsed="false">
      <c r="B14" s="5" t="str">
        <f aca="false">'Raw Items'!B14</f>
        <v>Вугілля</v>
      </c>
      <c r="C14" s="5" t="str">
        <f aca="false">'Raw Items'!D14</f>
        <v>None</v>
      </c>
      <c r="D14" s="5" t="n">
        <f aca="false">'Raw Items'!F14</f>
        <v>12</v>
      </c>
      <c r="E14" s="5" t="s">
        <v>31</v>
      </c>
      <c r="F14" s="7" t="n">
        <v>30</v>
      </c>
      <c r="G14" s="13" t="n">
        <v>3.5</v>
      </c>
      <c r="H14" s="11" t="n">
        <f aca="false">D14*G14/F14</f>
        <v>1.4</v>
      </c>
      <c r="I14" s="12" t="n">
        <f aca="false">D14/D$12</f>
        <v>2.4</v>
      </c>
      <c r="J14" s="12" t="n">
        <f aca="false">H14/H$12</f>
        <v>7</v>
      </c>
    </row>
    <row r="15" customFormat="false" ht="15" hidden="false" customHeight="true" outlineLevel="0" collapsed="false">
      <c r="B15" s="5" t="str">
        <f aca="false">'Raw Items'!B15</f>
        <v>Граніт</v>
      </c>
      <c r="C15" s="5" t="str">
        <f aca="false">'Raw Items'!D15</f>
        <v>Constructive</v>
      </c>
      <c r="D15" s="5" t="n">
        <f aca="false">'Raw Items'!F15</f>
        <v>10</v>
      </c>
      <c r="E15" s="5" t="s">
        <v>33</v>
      </c>
      <c r="F15" s="7" t="n">
        <v>45</v>
      </c>
      <c r="G15" s="13" t="n">
        <v>1</v>
      </c>
      <c r="H15" s="11" t="n">
        <f aca="false">D15*G15/F15</f>
        <v>0.222222222222222</v>
      </c>
      <c r="I15" s="12" t="n">
        <f aca="false">D15/D$12</f>
        <v>2</v>
      </c>
      <c r="J15" s="12" t="n">
        <f aca="false">H15/H$12</f>
        <v>1.11111111111111</v>
      </c>
    </row>
    <row r="16" customFormat="false" ht="15" hidden="false" customHeight="true" outlineLevel="0" collapsed="false">
      <c r="B16" s="5" t="str">
        <f aca="false">'Raw Items'!B16</f>
        <v>Андезит</v>
      </c>
      <c r="C16" s="5" t="str">
        <f aca="false">'Raw Items'!D16</f>
        <v>Constructive</v>
      </c>
      <c r="D16" s="5" t="n">
        <f aca="false">'Raw Items'!F16</f>
        <v>10</v>
      </c>
      <c r="E16" s="5" t="s">
        <v>36</v>
      </c>
      <c r="F16" s="7" t="n">
        <v>40</v>
      </c>
      <c r="G16" s="13" t="n">
        <v>1</v>
      </c>
      <c r="H16" s="11" t="n">
        <f aca="false">D16*G16/F16</f>
        <v>0.25</v>
      </c>
      <c r="I16" s="12" t="n">
        <f aca="false">D16/D$12</f>
        <v>2</v>
      </c>
      <c r="J16" s="12" t="n">
        <f aca="false">H16/H$12</f>
        <v>1.25</v>
      </c>
    </row>
    <row r="17" customFormat="false" ht="15" hidden="false" customHeight="true" outlineLevel="0" collapsed="false">
      <c r="B17" s="5" t="str">
        <f aca="false">'Raw Items'!B17</f>
        <v>Олов'яна руда</v>
      </c>
      <c r="C17" s="5" t="str">
        <f aca="false">'Raw Items'!D17</f>
        <v>MassMaterial</v>
      </c>
      <c r="D17" s="5" t="n">
        <f aca="false">'Raw Items'!F17</f>
        <v>20</v>
      </c>
      <c r="E17" s="5" t="s">
        <v>203</v>
      </c>
      <c r="F17" s="7" t="n">
        <v>35</v>
      </c>
      <c r="G17" s="13" t="n">
        <v>1</v>
      </c>
      <c r="H17" s="11" t="n">
        <f aca="false">D17*G17/F17</f>
        <v>0.571428571428571</v>
      </c>
      <c r="I17" s="12" t="n">
        <f aca="false">D17/D$12</f>
        <v>4</v>
      </c>
      <c r="J17" s="12" t="n">
        <f aca="false">H17/H$12</f>
        <v>2.85714285714286</v>
      </c>
    </row>
    <row r="18" customFormat="false" ht="15" hidden="false" customHeight="true" outlineLevel="0" collapsed="false">
      <c r="B18" s="5" t="str">
        <f aca="false">'Raw Items'!B18</f>
        <v>Залізна руда</v>
      </c>
      <c r="C18" s="5" t="str">
        <f aca="false">'Raw Items'!D18</f>
        <v>MassMaterial</v>
      </c>
      <c r="D18" s="5" t="n">
        <f aca="false">'Raw Items'!F18</f>
        <v>35</v>
      </c>
      <c r="E18" s="5" t="s">
        <v>204</v>
      </c>
      <c r="F18" s="7" t="n">
        <v>60</v>
      </c>
      <c r="G18" s="13" t="n">
        <v>1</v>
      </c>
      <c r="H18" s="11" t="n">
        <f aca="false">D18*G18/F18</f>
        <v>0.583333333333333</v>
      </c>
      <c r="I18" s="12" t="n">
        <f aca="false">D18/D$12</f>
        <v>7</v>
      </c>
      <c r="J18" s="12" t="n">
        <f aca="false">H18/H$12</f>
        <v>2.91666666666667</v>
      </c>
    </row>
    <row r="19" customFormat="false" ht="15" hidden="false" customHeight="true" outlineLevel="0" collapsed="false">
      <c r="B19" s="8" t="s">
        <v>42</v>
      </c>
      <c r="C19" s="8"/>
      <c r="D19" s="8"/>
      <c r="E19" s="8"/>
      <c r="F19" s="8"/>
      <c r="G19" s="8"/>
      <c r="H19" s="8"/>
      <c r="I19" s="8"/>
      <c r="J19" s="8"/>
    </row>
    <row r="20" customFormat="false" ht="15" hidden="false" customHeight="true" outlineLevel="0" collapsed="false">
      <c r="B20" s="3" t="str">
        <f aca="false">'Raw Items'!B20</f>
        <v>Сланець</v>
      </c>
      <c r="C20" s="5" t="str">
        <f aca="false">'Raw Items'!D20</f>
        <v>Filler</v>
      </c>
      <c r="D20" s="5" t="n">
        <f aca="false">'Raw Items'!F20</f>
        <v>15</v>
      </c>
      <c r="E20" s="5" t="s">
        <v>43</v>
      </c>
      <c r="F20" s="9" t="n">
        <v>60</v>
      </c>
      <c r="G20" s="10" t="n">
        <v>1</v>
      </c>
      <c r="H20" s="11" t="n">
        <f aca="false">D20*G20/F20</f>
        <v>0.25</v>
      </c>
      <c r="I20" s="12" t="n">
        <f aca="false">D20/D$20</f>
        <v>1</v>
      </c>
      <c r="J20" s="12" t="n">
        <f aca="false">H20/H$20</f>
        <v>1</v>
      </c>
    </row>
    <row r="21" customFormat="false" ht="15" hidden="false" customHeight="true" outlineLevel="0" collapsed="false">
      <c r="B21" s="5" t="str">
        <f aca="false">'Raw Items'!B21</f>
        <v>Мармур</v>
      </c>
      <c r="C21" s="5" t="str">
        <f aca="false">'Raw Items'!D21</f>
        <v>Constructive</v>
      </c>
      <c r="D21" s="5" t="n">
        <f aca="false">'Raw Items'!F21</f>
        <v>40</v>
      </c>
      <c r="E21" s="5" t="s">
        <v>45</v>
      </c>
      <c r="F21" s="7" t="n">
        <v>75</v>
      </c>
      <c r="G21" s="13" t="n">
        <v>1</v>
      </c>
      <c r="H21" s="11" t="n">
        <f aca="false">D21*G21/F21</f>
        <v>0.533333333333333</v>
      </c>
      <c r="I21" s="12" t="n">
        <f aca="false">D21/D$20</f>
        <v>2.66666666666667</v>
      </c>
      <c r="J21" s="12" t="n">
        <f aca="false">H21/H$20</f>
        <v>2.13333333333333</v>
      </c>
    </row>
    <row r="22" customFormat="false" ht="15" hidden="false" customHeight="true" outlineLevel="0" collapsed="false">
      <c r="B22" s="5" t="str">
        <f aca="false">'Raw Items'!B22</f>
        <v>Уламок габро</v>
      </c>
      <c r="C22" s="5" t="str">
        <f aca="false">'Raw Items'!D22</f>
        <v>Constructive</v>
      </c>
      <c r="D22" s="5" t="n">
        <f aca="false">'Raw Items'!F22</f>
        <v>30</v>
      </c>
      <c r="E22" s="5" t="s">
        <v>205</v>
      </c>
      <c r="F22" s="7" t="n">
        <v>85</v>
      </c>
      <c r="G22" s="13" t="n">
        <v>1</v>
      </c>
      <c r="H22" s="11" t="n">
        <f aca="false">D22*G22/F22</f>
        <v>0.352941176470588</v>
      </c>
      <c r="I22" s="12" t="n">
        <f aca="false">D22/D$20</f>
        <v>2</v>
      </c>
      <c r="J22" s="12" t="n">
        <f aca="false">H22/H$20</f>
        <v>1.41176470588235</v>
      </c>
    </row>
    <row r="23" customFormat="false" ht="15" hidden="false" customHeight="true" outlineLevel="0" collapsed="false">
      <c r="B23" s="5" t="str">
        <f aca="false">'Raw Items'!B23</f>
        <v>Золота руда</v>
      </c>
      <c r="C23" s="5" t="str">
        <f aca="false">'Raw Items'!D23</f>
        <v>RareMaterial</v>
      </c>
      <c r="D23" s="5" t="n">
        <f aca="false">'Raw Items'!F23</f>
        <v>100</v>
      </c>
      <c r="E23" s="5" t="s">
        <v>206</v>
      </c>
      <c r="F23" s="7" t="n">
        <v>45</v>
      </c>
      <c r="G23" s="13" t="n">
        <v>1</v>
      </c>
      <c r="H23" s="11" t="n">
        <f aca="false">D23*G23/F23</f>
        <v>2.22222222222222</v>
      </c>
      <c r="I23" s="12" t="n">
        <f aca="false">D23/D$20</f>
        <v>6.66666666666667</v>
      </c>
      <c r="J23" s="12" t="n">
        <f aca="false">H23/H$20</f>
        <v>8.88888888888889</v>
      </c>
    </row>
    <row r="24" customFormat="false" ht="15" hidden="false" customHeight="true" outlineLevel="0" collapsed="false">
      <c r="B24" s="5" t="str">
        <f aca="false">'Raw Items'!B24</f>
        <v>Срібна руда</v>
      </c>
      <c r="C24" s="5" t="str">
        <f aca="false">'Raw Items'!D24</f>
        <v>RareMaterial</v>
      </c>
      <c r="D24" s="5" t="n">
        <f aca="false">'Raw Items'!F24</f>
        <v>70</v>
      </c>
      <c r="E24" s="5" t="s">
        <v>207</v>
      </c>
      <c r="F24" s="7" t="n">
        <v>70</v>
      </c>
      <c r="G24" s="13" t="n">
        <v>1</v>
      </c>
      <c r="H24" s="11" t="n">
        <f aca="false">D24*G24/F24</f>
        <v>1</v>
      </c>
      <c r="I24" s="12" t="n">
        <f aca="false">D24/D$20</f>
        <v>4.66666666666667</v>
      </c>
      <c r="J24" s="12" t="n">
        <f aca="false">H24/H$20</f>
        <v>4</v>
      </c>
    </row>
    <row r="25" customFormat="false" ht="15" hidden="false" customHeight="true" outlineLevel="0" collapsed="false">
      <c r="B25" s="5" t="str">
        <f aca="false">'Raw Items'!B25</f>
        <v>Алмаз</v>
      </c>
      <c r="C25" s="5" t="str">
        <f aca="false">'Raw Items'!D25</f>
        <v>RareMaterial</v>
      </c>
      <c r="D25" s="5" t="n">
        <f aca="false">'Raw Items'!F25</f>
        <v>500</v>
      </c>
      <c r="E25" s="5" t="s">
        <v>53</v>
      </c>
      <c r="F25" s="7" t="n">
        <v>200</v>
      </c>
      <c r="G25" s="13" t="n">
        <v>1</v>
      </c>
      <c r="H25" s="11" t="n">
        <f aca="false">D25*G25/F25</f>
        <v>2.5</v>
      </c>
      <c r="I25" s="12" t="n">
        <f aca="false">D25/D$20</f>
        <v>33.3333333333333</v>
      </c>
      <c r="J25" s="12" t="n">
        <f aca="false">H25/H$20</f>
        <v>10</v>
      </c>
    </row>
    <row r="26" customFormat="false" ht="15" hidden="false" customHeight="true" outlineLevel="0" collapsed="false">
      <c r="B26" s="8" t="s">
        <v>55</v>
      </c>
      <c r="C26" s="8"/>
      <c r="D26" s="8"/>
      <c r="E26" s="8"/>
      <c r="F26" s="8"/>
      <c r="G26" s="8"/>
      <c r="H26" s="8"/>
      <c r="I26" s="8"/>
      <c r="J26" s="8"/>
    </row>
    <row r="27" customFormat="false" ht="15" hidden="false" customHeight="true" outlineLevel="0" collapsed="false">
      <c r="B27" s="3" t="str">
        <f aca="false">'Raw Items'!B27</f>
        <v>Базальт</v>
      </c>
      <c r="C27" s="5" t="str">
        <f aca="false">'Raw Items'!D27</f>
        <v>Filler</v>
      </c>
      <c r="D27" s="5" t="n">
        <f aca="false">'Raw Items'!F27</f>
        <v>30</v>
      </c>
      <c r="E27" s="5" t="s">
        <v>56</v>
      </c>
      <c r="F27" s="9" t="n">
        <v>130</v>
      </c>
      <c r="G27" s="10" t="n">
        <v>1</v>
      </c>
      <c r="H27" s="11" t="n">
        <f aca="false">D27*G27/F27</f>
        <v>0.230769230769231</v>
      </c>
      <c r="I27" s="12" t="n">
        <f aca="false">D27/D$27</f>
        <v>1</v>
      </c>
      <c r="J27" s="12" t="n">
        <f aca="false">H27/H$27</f>
        <v>1</v>
      </c>
    </row>
    <row r="28" customFormat="false" ht="15" hidden="false" customHeight="true" outlineLevel="0" collapsed="false">
      <c r="B28" s="5" t="str">
        <f aca="false">'Raw Items'!B28</f>
        <v>Кварцит</v>
      </c>
      <c r="C28" s="5" t="str">
        <f aca="false">'Raw Items'!D28</f>
        <v>Constructive</v>
      </c>
      <c r="D28" s="5" t="n">
        <f aca="false">'Raw Items'!F28</f>
        <v>50</v>
      </c>
      <c r="E28" s="5" t="s">
        <v>58</v>
      </c>
      <c r="F28" s="7" t="n">
        <v>150</v>
      </c>
      <c r="G28" s="13" t="n">
        <v>1</v>
      </c>
      <c r="H28" s="11" t="n">
        <f aca="false">D28*G28/F28</f>
        <v>0.333333333333333</v>
      </c>
      <c r="I28" s="12" t="n">
        <f aca="false">D28/D$27</f>
        <v>1.66666666666667</v>
      </c>
      <c r="J28" s="12" t="n">
        <f aca="false">H28/H$27</f>
        <v>1.44444444444444</v>
      </c>
    </row>
    <row r="29" customFormat="false" ht="15" hidden="false" customHeight="true" outlineLevel="0" collapsed="false">
      <c r="B29" s="5" t="str">
        <f aca="false">'Raw Items'!B29</f>
        <v>Гнейс</v>
      </c>
      <c r="C29" s="5" t="str">
        <f aca="false">'Raw Items'!D29</f>
        <v>Constructive</v>
      </c>
      <c r="D29" s="5" t="n">
        <f aca="false">'Raw Items'!F29</f>
        <v>60</v>
      </c>
      <c r="E29" s="5" t="s">
        <v>60</v>
      </c>
      <c r="F29" s="7" t="n">
        <v>160</v>
      </c>
      <c r="G29" s="13" t="n">
        <v>1</v>
      </c>
      <c r="H29" s="11" t="n">
        <f aca="false">D29*G29/F29</f>
        <v>0.375</v>
      </c>
      <c r="I29" s="12" t="n">
        <f aca="false">D29/D$27</f>
        <v>2</v>
      </c>
      <c r="J29" s="12" t="n">
        <f aca="false">H29/H$27</f>
        <v>1.625</v>
      </c>
    </row>
    <row r="30" customFormat="false" ht="15" hidden="false" customHeight="true" outlineLevel="0" collapsed="false">
      <c r="B30" s="5" t="str">
        <f aca="false">'Raw Items'!B30</f>
        <v>Кобальтова руда</v>
      </c>
      <c r="C30" s="5" t="str">
        <f aca="false">'Raw Items'!D30</f>
        <v>RareMaterial</v>
      </c>
      <c r="D30" s="5" t="n">
        <f aca="false">'Raw Items'!F30</f>
        <v>125</v>
      </c>
      <c r="E30" s="5" t="s">
        <v>208</v>
      </c>
      <c r="F30" s="7" t="n">
        <v>180</v>
      </c>
      <c r="G30" s="13" t="n">
        <v>1</v>
      </c>
      <c r="H30" s="11" t="n">
        <f aca="false">D30*G30/F30</f>
        <v>0.694444444444444</v>
      </c>
      <c r="I30" s="12" t="n">
        <f aca="false">D30/D$27</f>
        <v>4.16666666666667</v>
      </c>
      <c r="J30" s="12" t="n">
        <f aca="false">H30/H$27</f>
        <v>3.00925925925926</v>
      </c>
    </row>
    <row r="31" customFormat="false" ht="15" hidden="false" customHeight="true" outlineLevel="0" collapsed="false">
      <c r="B31" s="5" t="str">
        <f aca="false">'Raw Items'!B31</f>
        <v>Міфрилова руда</v>
      </c>
      <c r="C31" s="5" t="str">
        <f aca="false">'Raw Items'!D31</f>
        <v>RareMaterial</v>
      </c>
      <c r="D31" s="5" t="n">
        <f aca="false">'Raw Items'!F31</f>
        <v>500</v>
      </c>
      <c r="E31" s="5" t="s">
        <v>209</v>
      </c>
      <c r="F31" s="7" t="n">
        <v>220</v>
      </c>
      <c r="G31" s="13" t="n">
        <v>1</v>
      </c>
      <c r="H31" s="11" t="n">
        <f aca="false">D31*G31/F31</f>
        <v>2.27272727272727</v>
      </c>
      <c r="I31" s="12" t="n">
        <f aca="false">D31/D$27</f>
        <v>16.6666666666667</v>
      </c>
      <c r="J31" s="12" t="n">
        <f aca="false">H31/H$27</f>
        <v>9.84848484848485</v>
      </c>
    </row>
    <row r="32" customFormat="false" ht="15" hidden="false" customHeight="true" outlineLevel="0" collapsed="false">
      <c r="B32" s="5" t="str">
        <f aca="false">'Raw Items'!B32</f>
        <v>Антрацит</v>
      </c>
      <c r="C32" s="5" t="str">
        <f aca="false">'Raw Items'!D32</f>
        <v>None</v>
      </c>
      <c r="D32" s="5" t="n">
        <f aca="false">'Raw Items'!F32</f>
        <v>200</v>
      </c>
      <c r="E32" s="5" t="s">
        <v>66</v>
      </c>
      <c r="F32" s="7" t="n">
        <v>170</v>
      </c>
      <c r="G32" s="13" t="n">
        <v>2.5</v>
      </c>
      <c r="H32" s="11" t="n">
        <f aca="false">D32*G32/F32</f>
        <v>2.94117647058824</v>
      </c>
      <c r="I32" s="12" t="n">
        <f aca="false">D32/D$27</f>
        <v>6.66666666666667</v>
      </c>
      <c r="J32" s="12" t="n">
        <f aca="false">H32/H$27</f>
        <v>12.7450980392157</v>
      </c>
    </row>
    <row r="33" customFormat="false" ht="15" hidden="false" customHeight="true" outlineLevel="0" collapsed="false">
      <c r="B33" s="8" t="s">
        <v>68</v>
      </c>
      <c r="C33" s="8"/>
      <c r="D33" s="8"/>
      <c r="E33" s="8"/>
      <c r="F33" s="8"/>
      <c r="G33" s="8"/>
      <c r="H33" s="8"/>
      <c r="I33" s="8"/>
      <c r="J33" s="8"/>
    </row>
    <row r="34" customFormat="false" ht="15" hidden="false" customHeight="true" outlineLevel="0" collapsed="false">
      <c r="B34" s="3" t="str">
        <f aca="false">'Raw Items'!B34</f>
        <v>Перидотит</v>
      </c>
      <c r="C34" s="5" t="str">
        <f aca="false">'Raw Items'!D34</f>
        <v>Filler</v>
      </c>
      <c r="D34" s="5" t="n">
        <f aca="false">'Raw Items'!F34</f>
        <v>65</v>
      </c>
      <c r="E34" s="5" t="s">
        <v>69</v>
      </c>
      <c r="F34" s="9" t="n">
        <v>250</v>
      </c>
      <c r="G34" s="10" t="n">
        <v>1</v>
      </c>
      <c r="H34" s="11" t="n">
        <f aca="false">D34*G34/F34</f>
        <v>0.26</v>
      </c>
      <c r="I34" s="12" t="n">
        <f aca="false">D34/D$34</f>
        <v>1</v>
      </c>
      <c r="J34" s="12" t="n">
        <f aca="false">H34/H$34</f>
        <v>1</v>
      </c>
    </row>
    <row r="35" customFormat="false" ht="30" hidden="false" customHeight="true" outlineLevel="0" collapsed="false">
      <c r="B35" s="5" t="str">
        <f aca="false">'Raw Items'!B35</f>
        <v>Обсидіановий уламок</v>
      </c>
      <c r="C35" s="5" t="str">
        <f aca="false">'Raw Items'!D35</f>
        <v>RareMaterial</v>
      </c>
      <c r="D35" s="5" t="n">
        <f aca="false">'Raw Items'!F35</f>
        <v>210</v>
      </c>
      <c r="E35" s="5" t="s">
        <v>210</v>
      </c>
      <c r="F35" s="7" t="n">
        <v>280</v>
      </c>
      <c r="G35" s="13" t="n">
        <v>1</v>
      </c>
      <c r="H35" s="11" t="n">
        <f aca="false">D35*G35/F35</f>
        <v>0.75</v>
      </c>
      <c r="I35" s="12" t="n">
        <f aca="false">D35/D$34</f>
        <v>3.23076923076923</v>
      </c>
      <c r="J35" s="12" t="n">
        <f aca="false">H35/H$34</f>
        <v>2.88461538461538</v>
      </c>
    </row>
    <row r="36" customFormat="false" ht="15" hidden="false" customHeight="true" outlineLevel="0" collapsed="false">
      <c r="B36" s="5" t="str">
        <f aca="false">'Raw Items'!B36</f>
        <v>Магматит</v>
      </c>
      <c r="C36" s="5" t="str">
        <f aca="false">'Raw Items'!D36</f>
        <v>Constructive</v>
      </c>
      <c r="D36" s="5" t="n">
        <f aca="false">'Raw Items'!F36</f>
        <v>160</v>
      </c>
      <c r="E36" s="5" t="s">
        <v>73</v>
      </c>
      <c r="F36" s="7" t="n">
        <v>320</v>
      </c>
      <c r="G36" s="13" t="n">
        <v>1</v>
      </c>
      <c r="H36" s="11" t="n">
        <f aca="false">D36*G36/F36</f>
        <v>0.5</v>
      </c>
      <c r="I36" s="12" t="n">
        <f aca="false">D36/D$34</f>
        <v>2.46153846153846</v>
      </c>
      <c r="J36" s="12" t="n">
        <f aca="false">H36/H$34</f>
        <v>1.92307692307692</v>
      </c>
    </row>
    <row r="37" customFormat="false" ht="15" hidden="false" customHeight="true" outlineLevel="0" collapsed="false">
      <c r="B37" s="5" t="str">
        <f aca="false">'Raw Items'!B37</f>
        <v>Уранова руда</v>
      </c>
      <c r="C37" s="5" t="str">
        <f aca="false">'Raw Items'!D37</f>
        <v>RareMaterial</v>
      </c>
      <c r="D37" s="5" t="n">
        <f aca="false">'Raw Items'!F37</f>
        <v>290</v>
      </c>
      <c r="E37" s="5" t="s">
        <v>211</v>
      </c>
      <c r="F37" s="7" t="n">
        <v>360</v>
      </c>
      <c r="G37" s="13" t="n">
        <v>1</v>
      </c>
      <c r="H37" s="11" t="n">
        <f aca="false">D37*G37/F37</f>
        <v>0.805555555555556</v>
      </c>
      <c r="I37" s="12" t="n">
        <f aca="false">D37/D$34</f>
        <v>4.46153846153846</v>
      </c>
      <c r="J37" s="12" t="n">
        <f aca="false">H37/H$34</f>
        <v>3.0982905982906</v>
      </c>
    </row>
    <row r="38" customFormat="false" ht="15" hidden="false" customHeight="true" outlineLevel="0" collapsed="false">
      <c r="B38" s="5" t="str">
        <f aca="false">'Raw Items'!B38</f>
        <v>Адамантитова руда</v>
      </c>
      <c r="C38" s="5" t="str">
        <f aca="false">'Raw Items'!D38</f>
        <v>RareMaterial</v>
      </c>
      <c r="D38" s="5" t="n">
        <f aca="false">'Raw Items'!F38</f>
        <v>650</v>
      </c>
      <c r="E38" s="5" t="s">
        <v>212</v>
      </c>
      <c r="F38" s="7" t="n">
        <v>400</v>
      </c>
      <c r="G38" s="13" t="n">
        <v>1</v>
      </c>
      <c r="H38" s="11" t="n">
        <f aca="false">D38*G38/F38</f>
        <v>1.625</v>
      </c>
      <c r="I38" s="12" t="n">
        <f aca="false">D38/D$34</f>
        <v>10</v>
      </c>
      <c r="J38" s="12" t="n">
        <f aca="false">H38/H$34</f>
        <v>6.25</v>
      </c>
    </row>
    <row r="39" customFormat="false" ht="15" hidden="false" customHeight="true" outlineLevel="0" collapsed="false">
      <c r="B39" s="5" t="str">
        <f aca="false">'Raw Items'!B39</f>
        <v>Титанова руда</v>
      </c>
      <c r="C39" s="5" t="str">
        <f aca="false">'Raw Items'!D39</f>
        <v>RareMaterial</v>
      </c>
      <c r="D39" s="5" t="n">
        <f aca="false">'Raw Items'!F39</f>
        <v>2000</v>
      </c>
      <c r="E39" s="5" t="s">
        <v>213</v>
      </c>
      <c r="F39" s="7" t="n">
        <v>450</v>
      </c>
      <c r="G39" s="13" t="n">
        <v>1</v>
      </c>
      <c r="H39" s="11" t="n">
        <f aca="false">D39*G39/F39</f>
        <v>4.44444444444445</v>
      </c>
      <c r="I39" s="12" t="n">
        <f aca="false">D39/D$34</f>
        <v>30.7692307692308</v>
      </c>
      <c r="J39" s="12" t="n">
        <f aca="false">H39/H$34</f>
        <v>17.0940170940171</v>
      </c>
    </row>
    <row r="41" customFormat="false" ht="15.75" hidden="false" customHeight="true" outlineLevel="0" collapsed="false">
      <c r="B41" s="14" t="s">
        <v>214</v>
      </c>
      <c r="C41" s="14"/>
      <c r="D41" s="14"/>
      <c r="E41" s="14"/>
      <c r="F41" s="14"/>
      <c r="G41" s="14"/>
      <c r="H41" s="14"/>
      <c r="I41" s="14"/>
      <c r="J41" s="14"/>
    </row>
    <row r="42" customFormat="false" ht="15.75" hidden="false" customHeight="true" outlineLevel="0" collapsed="false">
      <c r="B42" s="15" t="s">
        <v>215</v>
      </c>
      <c r="C42" s="15"/>
      <c r="D42" s="15"/>
      <c r="E42" s="15"/>
      <c r="F42" s="15"/>
      <c r="G42" s="15"/>
      <c r="H42" s="15"/>
      <c r="I42" s="15"/>
      <c r="J42" s="15"/>
    </row>
    <row r="43" customFormat="false" ht="30" hidden="false" customHeight="true" outlineLevel="0" collapsed="false">
      <c r="B43" s="15" t="s">
        <v>216</v>
      </c>
      <c r="C43" s="15"/>
      <c r="D43" s="15"/>
      <c r="E43" s="15"/>
      <c r="F43" s="15"/>
      <c r="G43" s="15"/>
      <c r="H43" s="15"/>
      <c r="I43" s="15"/>
      <c r="J43" s="15"/>
    </row>
    <row r="44" customFormat="false" ht="15.75" hidden="false" customHeight="true" outlineLevel="0" collapsed="false">
      <c r="B44" s="15" t="s">
        <v>217</v>
      </c>
      <c r="C44" s="15"/>
      <c r="D44" s="15"/>
      <c r="E44" s="15"/>
      <c r="F44" s="15"/>
      <c r="G44" s="15"/>
      <c r="H44" s="15"/>
      <c r="I44" s="15"/>
      <c r="J44" s="15"/>
    </row>
    <row r="45" customFormat="false" ht="30" hidden="false" customHeight="true" outlineLevel="0" collapsed="false">
      <c r="B45" s="16" t="s">
        <v>218</v>
      </c>
      <c r="C45" s="16"/>
      <c r="D45" s="16"/>
      <c r="E45" s="16"/>
      <c r="F45" s="16"/>
      <c r="G45" s="16"/>
      <c r="H45" s="16"/>
      <c r="I45" s="16"/>
      <c r="J45" s="16"/>
    </row>
    <row r="46" customFormat="false" ht="30" hidden="false" customHeight="true" outlineLevel="0" collapsed="false">
      <c r="B46" s="15" t="s">
        <v>219</v>
      </c>
      <c r="C46" s="15"/>
      <c r="D46" s="15"/>
      <c r="E46" s="15"/>
      <c r="F46" s="15"/>
      <c r="G46" s="15"/>
      <c r="H46" s="15"/>
      <c r="I46" s="15"/>
      <c r="J46" s="15"/>
    </row>
  </sheetData>
  <mergeCells count="12">
    <mergeCell ref="B1:J1"/>
    <mergeCell ref="B3:J3"/>
    <mergeCell ref="B11:J11"/>
    <mergeCell ref="B19:J19"/>
    <mergeCell ref="B26:J26"/>
    <mergeCell ref="B33:J33"/>
    <mergeCell ref="B41:J41"/>
    <mergeCell ref="B42:J42"/>
    <mergeCell ref="B43:J43"/>
    <mergeCell ref="B44:J44"/>
    <mergeCell ref="B45:J45"/>
    <mergeCell ref="B46:J46"/>
  </mergeCells>
  <conditionalFormatting sqref="J4:J39">
    <cfRule type="expression" priority="2" aboveAverage="0" equalAverage="0" bottom="0" percent="0" rank="0" text="" dxfId="0">
      <formula>AND(ISNUMBER(J4),J4&lt;&gt;1,J4&lt;3)</formula>
    </cfRule>
    <cfRule type="expression" priority="3" aboveAverage="0" equalAverage="0" bottom="0" percent="0" rank="0" text="" dxfId="1">
      <formula>AND(ISNUMBER(J4),J4&lt;&gt;1,J4&gt;=3,J4&lt;6)</formula>
    </cfRule>
    <cfRule type="expression" priority="4" aboveAverage="0" equalAverage="0" bottom="0" percent="0" rank="0" text="" dxfId="2">
      <formula>AND(ISNUMBER(J4),J4&lt;&gt;1,J4&gt;=6)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2026-09-16T21:16:53Z</dcterms:created>
  <dc:creator>openpyxl</dc:creator>
  <dc:description/>
  <dc:language>en-US</dc:language>
  <cp:lastModifiedBy>Dgardes Gusь</cp:lastModifiedBy>
  <dcterms:modified xsi:type="dcterms:W3CDTF">2026-10-20T16:40:02Z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